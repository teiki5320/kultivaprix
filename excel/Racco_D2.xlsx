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co D2" sheetId="1" r:id="rId1"/>
    <sheet name="Calcul" sheetId="2" state="hidden" r:id="rId2"/>
    <sheet name="Paramètres" sheetId="3" state="hidden" r:id="rId3"/>
  </sheets>
  <definedNames>
    <definedName name="aide">'Racco D2'!$AK$4:$AK$51</definedName>
    <definedName name="arbre">'Racco D2'!$B$4:$F$51</definedName>
    <definedName name="bloc">'Racco D2'!$H$12:$AI$25</definedName>
    <definedName name="btnAujourdhui">'Racco D2'!$AD$27:$AI$27</definedName>
    <definedName name="btnVue">'Racco D2'!$AD$12:$AI$12</definedName>
    <definedName name="codeAPE">'Calcul'!$B$329:$B$329</definedName>
    <definedName name="codeDZI">'Calcul'!$B$637:$B$637</definedName>
    <definedName name="codeLVE">'Calcul'!$B$943:$B$943</definedName>
    <definedName name="codeRTY">'Calcul'!$B$790:$B$790</definedName>
    <definedName name="comlab">'Calcul'!$B$82:$B$82</definedName>
    <definedName name="cour">'Calcul'!$B$51:$B$51</definedName>
    <definedName name="cp_APE">'Racco D2'!$T$19:$U$19</definedName>
    <definedName name="cp_Comlab">'Racco D2'!$AH$16:$AI$16</definedName>
    <definedName name="cp_D30">'Racco D2'!$Y$28:$Z$28</definedName>
    <definedName name="cp_D65">'Racco D2'!$AH$28:$AI$28</definedName>
    <definedName name="cp_DZI">'Racco D2'!$AH$19:$AI$19</definedName>
    <definedName name="cp_I30">'Racco D2'!$T$13:$U$13</definedName>
    <definedName name="cp_I65">'Racco D2'!$AH$13:$AI$13</definedName>
    <definedName name="cp_LVE">'Racco D2'!$AH$21:$AI$21</definedName>
    <definedName name="cp_RTY">'Racco D2'!$T$21:$U$21</definedName>
    <definedName name="date30">'Calcul'!$C$945:$C$945</definedName>
    <definedName name="date65">'Calcul'!$C$946:$C$946</definedName>
    <definedName name="dateDepart">'Racco D2'!$H$29:$Q$29</definedName>
    <definedName name="etapeChoisie">'Racco D2'!$AA$12:$AA$12</definedName>
    <definedName name="frise">'Racco D2'!$H$13:$AI$14</definedName>
    <definedName name="noeuds">'Calcul'!$A$2:$N$39</definedName>
    <definedName name="sel">'Calcul'!$B$52:$B$52</definedName>
    <definedName name="selMemo">'Calcul'!$B$54:$B$54</definedName>
    <definedName name="taches">'Calcul'!$A$43:$R$49</definedName>
    <definedName name="vue">'Calcul'!$B$53:$B$53</definedName>
  </definedNames>
  <calcPr calcId="124519" fullCalcOnLoad="1"/>
</workbook>
</file>

<file path=xl/sharedStrings.xml><?xml version="1.0" encoding="utf-8"?>
<sst xmlns="http://schemas.openxmlformats.org/spreadsheetml/2006/main" count="356" uniqueCount="170">
  <si>
    <t>Paramètres</t>
  </si>
  <si>
    <t>Délai date 1 (jours)</t>
  </si>
  <si>
    <t>Délai date 2 (jours)</t>
  </si>
  <si>
    <t>Jours fériés (France)</t>
  </si>
  <si>
    <t>Alphabet base 32 des codes</t>
  </si>
  <si>
    <t>0123456789ABCDEFGHJKMNPQRSTVWXYZ</t>
  </si>
  <si>
    <t>Racco D2</t>
  </si>
  <si>
    <t>id</t>
  </si>
  <si>
    <t>libellé</t>
  </si>
  <si>
    <t>niveau</t>
  </si>
  <si>
    <t>coché</t>
  </si>
  <si>
    <t>effectif</t>
  </si>
  <si>
    <t>valide</t>
  </si>
  <si>
    <t>fermé</t>
  </si>
  <si>
    <t>parent</t>
  </si>
  <si>
    <t>mode</t>
  </si>
  <si>
    <t>index</t>
  </si>
  <si>
    <t>ligne</t>
  </si>
  <si>
    <t>verrou</t>
  </si>
  <si>
    <t>tag</t>
  </si>
  <si>
    <t>court</t>
  </si>
  <si>
    <t>t1</t>
  </si>
  <si>
    <t>Réception dossier</t>
  </si>
  <si>
    <t>tout</t>
  </si>
  <si>
    <t>t1a</t>
  </si>
  <si>
    <t>Demande de raccordement reçue</t>
  </si>
  <si>
    <t>t1b</t>
  </si>
  <si>
    <t>Plans de l'immeuble reçus</t>
  </si>
  <si>
    <t>t1c</t>
  </si>
  <si>
    <t>Permis de construire joint</t>
  </si>
  <si>
    <t>t1d</t>
  </si>
  <si>
    <t>Coordonnées du cabinet conseil</t>
  </si>
  <si>
    <t>t2</t>
  </si>
  <si>
    <t>Conformité</t>
  </si>
  <si>
    <t>un</t>
  </si>
  <si>
    <t>t2a</t>
  </si>
  <si>
    <t>2a  Conforme</t>
  </si>
  <si>
    <t>Conforme</t>
  </si>
  <si>
    <t>t2a1</t>
  </si>
  <si>
    <t>Plans vérifiés</t>
  </si>
  <si>
    <t>t2a2</t>
  </si>
  <si>
    <t>Nombre d'EL cohérent avec les plans</t>
  </si>
  <si>
    <t>t2a3</t>
  </si>
  <si>
    <t>Adresse et IMB contrôlés</t>
  </si>
  <si>
    <t>t2b</t>
  </si>
  <si>
    <t>2b  Non conforme</t>
  </si>
  <si>
    <t>Non conforme</t>
  </si>
  <si>
    <t>t2b1</t>
  </si>
  <si>
    <t>Anomalies notifiées au cabinet conseil</t>
  </si>
  <si>
    <t>t2b2</t>
  </si>
  <si>
    <t>Compléments demandés</t>
  </si>
  <si>
    <t>t3</t>
  </si>
  <si>
    <t>Étude technique</t>
  </si>
  <si>
    <t>t3a</t>
  </si>
  <si>
    <t>Point de branchement (PBO) identifié</t>
  </si>
  <si>
    <t>t3b</t>
  </si>
  <si>
    <t>Cheminement du câble validé</t>
  </si>
  <si>
    <t>t3c</t>
  </si>
  <si>
    <t>Devis de raccordement envoyé</t>
  </si>
  <si>
    <t>t3d</t>
  </si>
  <si>
    <t>Commande reçue</t>
  </si>
  <si>
    <t>t4</t>
  </si>
  <si>
    <t>Planification</t>
  </si>
  <si>
    <t>t4a</t>
  </si>
  <si>
    <t>Date d'intervention fixée</t>
  </si>
  <si>
    <t>t4b</t>
  </si>
  <si>
    <t>Technicien affecté</t>
  </si>
  <si>
    <t>t4c</t>
  </si>
  <si>
    <t>Syndic ou gestionnaire prévenu</t>
  </si>
  <si>
    <t>t5</t>
  </si>
  <si>
    <t>Travaux</t>
  </si>
  <si>
    <t>t5a</t>
  </si>
  <si>
    <t>Câblage de la colonne montante</t>
  </si>
  <si>
    <t>t5b</t>
  </si>
  <si>
    <t>Pose des prises (PTO) dans les logements</t>
  </si>
  <si>
    <t>t5c</t>
  </si>
  <si>
    <t>Raccordement au point de branchement</t>
  </si>
  <si>
    <t>t5d</t>
  </si>
  <si>
    <t>Photos d'intervention reçues</t>
  </si>
  <si>
    <t>t6</t>
  </si>
  <si>
    <t>Recette</t>
  </si>
  <si>
    <t>t6a</t>
  </si>
  <si>
    <t>6a  Recette conforme</t>
  </si>
  <si>
    <t>Recette conforme</t>
  </si>
  <si>
    <t>t6a1</t>
  </si>
  <si>
    <t>Mesures optiques dans les tolérances</t>
  </si>
  <si>
    <t>t6a2</t>
  </si>
  <si>
    <t>PV de recette signé</t>
  </si>
  <si>
    <t>t6b</t>
  </si>
  <si>
    <t>6b  Recette avec réserves</t>
  </si>
  <si>
    <t>Réserves</t>
  </si>
  <si>
    <t>t6b1</t>
  </si>
  <si>
    <t>Réserves notifiées au sous-traitant</t>
  </si>
  <si>
    <t>t6b2</t>
  </si>
  <si>
    <t>Reprise planifiée</t>
  </si>
  <si>
    <t>t7</t>
  </si>
  <si>
    <t>Mise en service</t>
  </si>
  <si>
    <t>t7a</t>
  </si>
  <si>
    <t>Dossier de récolement transmis</t>
  </si>
  <si>
    <t>t7b</t>
  </si>
  <si>
    <t>IMB passés actifs dans le SI</t>
  </si>
  <si>
    <t>t7c</t>
  </si>
  <si>
    <t>Dossier clôturé</t>
  </si>
  <si>
    <t>n°</t>
  </si>
  <si>
    <t>branche A</t>
  </si>
  <si>
    <t>branche B</t>
  </si>
  <si>
    <t>en A</t>
  </si>
  <si>
    <t>en B</t>
  </si>
  <si>
    <t>ko</t>
  </si>
  <si>
    <t>acquise</t>
  </si>
  <si>
    <t>texte</t>
  </si>
  <si>
    <t>statut</t>
  </si>
  <si>
    <t>décision</t>
  </si>
  <si>
    <t>action</t>
  </si>
  <si>
    <t>responsable</t>
  </si>
  <si>
    <t>lettre</t>
  </si>
  <si>
    <t>en cours</t>
  </si>
  <si>
    <t>affichée</t>
  </si>
  <si>
    <t>vue</t>
  </si>
  <si>
    <t>Situation</t>
  </si>
  <si>
    <t>étape mémorisée</t>
  </si>
  <si>
    <t>Code Comlab</t>
  </si>
  <si>
    <t>corps</t>
  </si>
  <si>
    <t>pas</t>
  </si>
  <si>
    <t>car.</t>
  </si>
  <si>
    <t>empreinte</t>
  </si>
  <si>
    <t>Comlab</t>
  </si>
  <si>
    <t>APE</t>
  </si>
  <si>
    <t>tour 1</t>
  </si>
  <si>
    <t>tour 2</t>
  </si>
  <si>
    <t>tour 3</t>
  </si>
  <si>
    <t>tour 4</t>
  </si>
  <si>
    <t>tour 5</t>
  </si>
  <si>
    <t>tour 6</t>
  </si>
  <si>
    <t>tour 7</t>
  </si>
  <si>
    <t>tour 8</t>
  </si>
  <si>
    <t>code</t>
  </si>
  <si>
    <t>DZI</t>
  </si>
  <si>
    <t>tour 9</t>
  </si>
  <si>
    <t>tour 10</t>
  </si>
  <si>
    <t>RTY</t>
  </si>
  <si>
    <t>LVE</t>
  </si>
  <si>
    <t>date 1</t>
  </si>
  <si>
    <t>date 2</t>
  </si>
  <si>
    <t>TÂCHES</t>
  </si>
  <si>
    <t>●</t>
  </si>
  <si>
    <t>ou</t>
  </si>
  <si>
    <t>DOSSIER</t>
  </si>
  <si>
    <t>N° POI anticipation</t>
  </si>
  <si>
    <t>N° POI Racco D2</t>
  </si>
  <si>
    <t>Nombre d'EL</t>
  </si>
  <si>
    <t>Permis de construire</t>
  </si>
  <si>
    <t>Adresse</t>
  </si>
  <si>
    <t>Cabinet conseil</t>
  </si>
  <si>
    <t>DLPI</t>
  </si>
  <si>
    <t>IMB</t>
  </si>
  <si>
    <t>SITUATION</t>
  </si>
  <si>
    <t>Étape</t>
  </si>
  <si>
    <t>Statut</t>
  </si>
  <si>
    <t>Décision</t>
  </si>
  <si>
    <t>Action suivante</t>
  </si>
  <si>
    <t>Responsable</t>
  </si>
  <si>
    <t>Délai</t>
  </si>
  <si>
    <t>DATES</t>
  </si>
  <si>
    <t>Date de départ</t>
  </si>
  <si>
    <t>+ 30 JOURS</t>
  </si>
  <si>
    <t>⧉</t>
  </si>
  <si>
    <t>+ 65 JOURS</t>
  </si>
  <si>
    <t>INFO</t>
  </si>
  <si>
    <t>CODE COMLAB</t>
  </si>
</sst>
</file>

<file path=xl/styles.xml><?xml version="1.0" encoding="utf-8"?>
<styleSheet xmlns="http://schemas.openxmlformats.org/spreadsheetml/2006/main">
  <numFmts count="1">
    <numFmt numFmtId="164" formatCode="dd/mm/yyyy"/>
  </numFmts>
  <fonts count="26">
    <font>
      <sz val="11"/>
      <color theme="1"/>
      <name val="Calibri"/>
      <family val="2"/>
      <scheme val="minor"/>
    </font>
    <font>
      <sz val="11"/>
      <color rgb="FF4A4238"/>
      <name val="Calibri"/>
      <family val="2"/>
      <scheme val="minor"/>
    </font>
    <font>
      <sz val="11"/>
      <color rgb="FFEFE3D6"/>
      <name val="Calibri"/>
      <family val="2"/>
      <scheme val="minor"/>
    </font>
    <font>
      <b/>
      <sz val="16"/>
      <color rgb="FF3F5A4C"/>
      <name val="Calibri"/>
      <family val="2"/>
      <scheme val="minor"/>
    </font>
    <font>
      <b/>
      <sz val="9"/>
      <color rgb="FF6D6259"/>
      <name val="Calibri"/>
      <family val="2"/>
      <scheme val="minor"/>
    </font>
    <font>
      <b/>
      <sz val="9"/>
      <color rgb="FF7D7670"/>
      <name val="Calibri"/>
      <family val="2"/>
      <scheme val="minor"/>
    </font>
    <font>
      <b/>
      <sz val="11"/>
      <color rgb="FF6D6259"/>
      <name val="Calibri"/>
      <family val="2"/>
      <scheme val="minor"/>
    </font>
    <font>
      <sz val="11"/>
      <color rgb="FF6D6259"/>
      <name val="Calibri"/>
      <family val="2"/>
      <scheme val="minor"/>
    </font>
    <font>
      <sz val="9"/>
      <color rgb="FF6D6259"/>
      <name val="Calibri"/>
      <family val="2"/>
      <scheme val="minor"/>
    </font>
    <font>
      <b/>
      <sz val="12"/>
      <color rgb="FF4A4238"/>
      <name val="Calibri"/>
      <family val="2"/>
      <scheme val="minor"/>
    </font>
    <font>
      <sz val="13"/>
      <color rgb="FFE2493A"/>
      <name val="Calibri"/>
      <family val="2"/>
      <scheme val="minor"/>
    </font>
    <font>
      <b/>
      <sz val="8"/>
      <color rgb="FF6D6259"/>
      <name val="Calibri"/>
      <family val="2"/>
      <scheme val="minor"/>
    </font>
    <font>
      <b/>
      <sz val="11"/>
      <color rgb="FF4A4238"/>
      <name val="Calibri"/>
      <family val="2"/>
      <scheme val="minor"/>
    </font>
    <font>
      <sz val="10"/>
      <color rgb="FF4A4238"/>
      <name val="Consolas"/>
      <family val="2"/>
    </font>
    <font>
      <b/>
      <sz val="9"/>
      <color rgb="FF96660F"/>
      <name val="Calibri"/>
      <family val="2"/>
      <scheme val="minor"/>
    </font>
    <font>
      <sz val="8"/>
      <color rgb="FF6D6259"/>
      <name val="Calibri"/>
      <family val="2"/>
      <scheme val="minor"/>
    </font>
    <font>
      <b/>
      <sz val="13"/>
      <color rgb="FF7D7670"/>
      <name val="Calibri"/>
      <family val="2"/>
      <scheme val="minor"/>
    </font>
    <font>
      <sz val="7"/>
      <color rgb="FF7D7670"/>
      <name val="Calibri"/>
      <family val="2"/>
      <scheme val="minor"/>
    </font>
    <font>
      <b/>
      <sz val="13"/>
      <color rgb="FF4A4238"/>
      <name val="Calibri"/>
      <family val="2"/>
      <scheme val="minor"/>
    </font>
    <font>
      <b/>
      <sz val="11"/>
      <color rgb="FF33190F"/>
      <name val="Calibri"/>
      <family val="2"/>
      <scheme val="minor"/>
    </font>
    <font>
      <b/>
      <sz val="12"/>
      <color rgb="FF4A4238"/>
      <name val="Consolas"/>
      <family val="2"/>
    </font>
    <font>
      <b/>
      <sz val="8"/>
      <color rgb="FFC1523F"/>
      <name val="Calibri"/>
      <family val="2"/>
      <scheme val="minor"/>
    </font>
    <font>
      <b/>
      <sz val="9"/>
      <color rgb="FFB5563A"/>
      <name val="Calibri"/>
      <family val="2"/>
      <scheme val="minor"/>
    </font>
    <font>
      <b/>
      <sz val="13"/>
      <color rgb="FF4A4238"/>
      <name val="Consolas"/>
      <family val="2"/>
    </font>
    <font>
      <b/>
      <sz val="10"/>
      <color rgb="FF4A4238"/>
      <name val="Consolas"/>
      <family val="2"/>
    </font>
    <font>
      <sz val="11"/>
      <color rgb="FF4A4238"/>
      <name val="Consolas"/>
      <family val="2"/>
    </font>
  </fonts>
  <fills count="10">
    <fill>
      <patternFill patternType="none"/>
    </fill>
    <fill>
      <patternFill patternType="gray125"/>
    </fill>
    <fill>
      <patternFill patternType="solid">
        <fgColor rgb="FFEFE3D6"/>
        <bgColor indexed="64"/>
      </patternFill>
    </fill>
    <fill>
      <patternFill patternType="solid">
        <fgColor rgb="FFCFE2D8"/>
        <bgColor indexed="64"/>
      </patternFill>
    </fill>
    <fill>
      <patternFill patternType="solid">
        <fgColor rgb="FFFFFAF4"/>
        <bgColor indexed="64"/>
      </patternFill>
    </fill>
    <fill>
      <patternFill patternType="solid">
        <fgColor rgb="FFF3E7DB"/>
        <bgColor indexed="64"/>
      </patternFill>
    </fill>
    <fill>
      <patternFill patternType="solid">
        <fgColor rgb="FFF9E9B8"/>
        <bgColor indexed="64"/>
      </patternFill>
    </fill>
    <fill>
      <patternFill patternType="solid">
        <fgColor rgb="FFEBE4DC"/>
        <bgColor indexed="64"/>
      </patternFill>
    </fill>
    <fill>
      <patternFill patternType="solid">
        <fgColor rgb="FFE8907A"/>
        <bgColor indexed="64"/>
      </patternFill>
    </fill>
    <fill>
      <patternFill patternType="solid">
        <fgColor rgb="FFF4C6B5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FFFAF4"/>
      </top>
      <bottom/>
      <diagonal/>
    </border>
    <border>
      <left style="thin">
        <color rgb="FFFFFAF4"/>
      </left>
      <right style="thin">
        <color rgb="FFFFFAF4"/>
      </right>
      <top style="thin">
        <color rgb="FFFFFAF4"/>
      </top>
      <bottom style="thin">
        <color rgb="FFFFFAF4"/>
      </bottom>
      <diagonal/>
    </border>
    <border>
      <left style="thin">
        <color rgb="FFE4D9CD"/>
      </left>
      <right style="thin">
        <color rgb="FFE4D9CD"/>
      </right>
      <top style="thin">
        <color rgb="FFE4D9CD"/>
      </top>
      <bottom style="thin">
        <color rgb="FFE4D9CD"/>
      </bottom>
      <diagonal/>
    </border>
    <border>
      <left style="thin">
        <color rgb="FFFFFAF4"/>
      </left>
      <right style="thin">
        <color rgb="FFFFFAF4"/>
      </right>
      <top style="thin">
        <color rgb="FFFFFAF4"/>
      </top>
      <bottom/>
      <diagonal/>
    </border>
    <border>
      <left style="thin">
        <color rgb="FFFFFAF4"/>
      </left>
      <right style="thin">
        <color rgb="FFFFFAF4"/>
      </right>
      <top/>
      <bottom style="thin">
        <color rgb="FFFFFAF4"/>
      </bottom>
      <diagonal/>
    </border>
    <border>
      <left/>
      <right/>
      <top/>
      <bottom style="thin">
        <color rgb="FFE4D9CD"/>
      </bottom>
      <diagonal/>
    </border>
    <border>
      <left/>
      <right style="thin">
        <color rgb="FFE4D9CD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5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5" borderId="0" xfId="0" applyFont="1" applyFill="1" applyAlignment="1">
      <alignment horizontal="right" vertical="center"/>
    </xf>
    <xf numFmtId="0" fontId="12" fillId="5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left" vertical="center" indent="1"/>
    </xf>
    <xf numFmtId="1" fontId="1" fillId="5" borderId="2" xfId="0" applyNumberFormat="1" applyFont="1" applyFill="1" applyBorder="1" applyAlignment="1">
      <alignment horizontal="left" vertical="center" indent="1"/>
    </xf>
    <xf numFmtId="164" fontId="1" fillId="5" borderId="2" xfId="0" applyNumberFormat="1" applyFont="1" applyFill="1" applyBorder="1" applyAlignment="1">
      <alignment horizontal="left" vertical="center" indent="1"/>
    </xf>
    <xf numFmtId="0" fontId="13" fillId="5" borderId="2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 indent="3"/>
    </xf>
    <xf numFmtId="0" fontId="14" fillId="6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right" vertical="center"/>
    </xf>
    <xf numFmtId="0" fontId="12" fillId="5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1" fillId="5" borderId="0" xfId="0" applyFont="1" applyFill="1" applyAlignment="1">
      <alignment horizontal="left" vertical="center" indent="2"/>
    </xf>
    <xf numFmtId="0" fontId="17" fillId="7" borderId="5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vertical="top" indent="1"/>
    </xf>
    <xf numFmtId="0" fontId="12" fillId="5" borderId="6" xfId="0" applyFont="1" applyFill="1" applyBorder="1" applyAlignment="1">
      <alignment vertical="top" indent="1" wrapText="1"/>
    </xf>
    <xf numFmtId="0" fontId="8" fillId="4" borderId="0" xfId="0" applyFont="1" applyFill="1" applyAlignment="1">
      <alignment vertical="center" wrapText="1"/>
    </xf>
    <xf numFmtId="0" fontId="11" fillId="5" borderId="0" xfId="0" applyFont="1" applyFill="1" applyAlignment="1">
      <alignment horizontal="left" vertical="center" indent="1"/>
    </xf>
    <xf numFmtId="0" fontId="19" fillId="8" borderId="0" xfId="0" applyFont="1" applyFill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/>
    </xf>
    <xf numFmtId="0" fontId="20" fillId="5" borderId="0" xfId="0" applyFont="1" applyFill="1" applyAlignment="1">
      <alignment horizontal="left" vertical="center" indent="1"/>
    </xf>
    <xf numFmtId="0" fontId="15" fillId="5" borderId="0" xfId="0" applyFont="1" applyFill="1" applyAlignment="1">
      <alignment horizontal="left" vertical="center" indent="1"/>
    </xf>
    <xf numFmtId="0" fontId="21" fillId="5" borderId="0" xfId="0" applyFont="1" applyFill="1" applyAlignment="1">
      <alignment horizontal="left" vertical="center" indent="1"/>
    </xf>
    <xf numFmtId="0" fontId="22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2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left" vertical="center" indent="1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0">
    <dxf>
      <font>
        <color rgb="FF3D7F55"/>
      </font>
    </dxf>
    <dxf>
      <font>
        <color rgb="FF96660F"/>
      </font>
    </dxf>
    <dxf>
      <font>
        <color rgb="FFA89F95"/>
      </font>
    </dxf>
    <dxf>
      <font>
        <color rgb="FF36C26A"/>
      </font>
    </dxf>
    <dxf>
      <font>
        <color rgb="FF2F6B4A"/>
      </font>
    </dxf>
    <dxf>
      <font>
        <color rgb="FF3D7F55"/>
      </font>
      <fill>
        <patternFill>
          <bgColor rgb="FFD9EAD9"/>
        </patternFill>
      </fill>
    </dxf>
    <dxf>
      <font>
        <b/>
      </font>
      <border>
        <left style="medium">
          <color rgb="FF4A4238"/>
        </left>
        <right style="medium">
          <color rgb="FF4A4238"/>
        </right>
        <top style="medium">
          <color rgb="FF4A4238"/>
        </top>
        <bottom style="medium">
          <color rgb="FF4A4238"/>
        </bottom>
        <vertical/>
        <horizontal/>
      </border>
    </dxf>
    <dxf>
      <font>
        <color rgb="FFC1523F"/>
      </font>
      <fill>
        <patternFill>
          <bgColor rgb="FFF6D5C9"/>
        </patternFill>
      </fill>
    </dxf>
    <dxf>
      <font>
        <color rgb="FF96660F"/>
      </font>
      <fill>
        <patternFill>
          <bgColor rgb="FFF9E9B8"/>
        </patternFill>
      </fill>
    </dxf>
    <dxf>
      <fill>
        <patternFill>
          <bgColor rgb="FFF6D5C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52"/>
  <sheetViews>
    <sheetView showGridLines="0" showRowColHeaders="0" tabSelected="1" zoomScale="115" zoomScaleNormal="115" workbookViewId="0"/>
  </sheetViews>
  <sheetFormatPr defaultRowHeight="18" customHeight="1"/>
  <cols>
    <col min="1" max="1" width="1.85546875" style="1" customWidth="1"/>
    <col min="2" max="2" width="3.85546875" style="1" customWidth="1"/>
    <col min="3" max="3" width="4.140625" style="1" customWidth="1"/>
    <col min="4" max="4" width="3.5703125" style="1" customWidth="1"/>
    <col min="5" max="5" width="50.7109375" style="1" customWidth="1"/>
    <col min="6" max="6" width="3.7109375" style="1" customWidth="1"/>
    <col min="7" max="7" width="2.85546875" style="1" customWidth="1"/>
    <col min="8" max="35" width="3.7109375" style="1" customWidth="1"/>
    <col min="36" max="36" width="1.85546875" style="1" customWidth="1"/>
    <col min="37" max="37" width="8.7109375" style="2" hidden="1" customWidth="1"/>
    <col min="38" max="201" width="3.7109375" style="1" customWidth="1"/>
  </cols>
  <sheetData>
    <row r="1" spans="2:37" ht="27" customHeight="1">
      <c r="B1" s="3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2:37" ht="6" customHeight="1"/>
    <row r="3" spans="2:37" ht="18" customHeight="1">
      <c r="B3" s="4" t="s">
        <v>144</v>
      </c>
      <c r="C3" s="4"/>
      <c r="D3" s="4"/>
      <c r="E3" s="5">
        <f>COUNTIF(Calcul!$K$43:$K$49,TRUE)&amp;" / 7"</f>
        <v>0</v>
      </c>
      <c r="F3" s="6"/>
      <c r="H3" s="7" t="s">
        <v>147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2:37" ht="18" customHeight="1">
      <c r="B4" s="8"/>
      <c r="C4" s="9" t="b">
        <v>0</v>
      </c>
      <c r="D4" s="10">
        <v>1</v>
      </c>
      <c r="E4" s="11" t="s">
        <v>22</v>
      </c>
      <c r="F4" s="12" t="s">
        <v>145</v>
      </c>
      <c r="H4" s="13" t="s">
        <v>148</v>
      </c>
      <c r="I4" s="13"/>
      <c r="J4" s="13"/>
      <c r="K4" s="13"/>
      <c r="L4" s="13"/>
      <c r="M4" s="13"/>
      <c r="N4" s="13"/>
      <c r="O4" s="13" t="s">
        <v>149</v>
      </c>
      <c r="P4" s="13"/>
      <c r="Q4" s="13"/>
      <c r="R4" s="13"/>
      <c r="S4" s="13"/>
      <c r="T4" s="13"/>
      <c r="U4" s="13"/>
      <c r="V4" s="13" t="s">
        <v>150</v>
      </c>
      <c r="W4" s="13"/>
      <c r="X4" s="13"/>
      <c r="Y4" s="13"/>
      <c r="Z4" s="13"/>
      <c r="AA4" s="13"/>
      <c r="AB4" s="13"/>
      <c r="AC4" s="13" t="s">
        <v>151</v>
      </c>
      <c r="AD4" s="13"/>
      <c r="AE4" s="13"/>
      <c r="AF4" s="13"/>
      <c r="AG4" s="13"/>
      <c r="AH4" s="13"/>
      <c r="AI4" s="13"/>
      <c r="AK4" s="14" t="s">
        <v>21</v>
      </c>
    </row>
    <row r="5" spans="2:37" ht="18" customHeight="1">
      <c r="B5" s="15"/>
      <c r="C5" s="16" t="b">
        <v>0</v>
      </c>
      <c r="D5" s="17"/>
      <c r="E5" s="18" t="s">
        <v>25</v>
      </c>
      <c r="F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1"/>
      <c r="W5" s="21"/>
      <c r="X5" s="21"/>
      <c r="Y5" s="21"/>
      <c r="Z5" s="21"/>
      <c r="AA5" s="21"/>
      <c r="AB5" s="21"/>
      <c r="AC5" s="20"/>
      <c r="AD5" s="20"/>
      <c r="AE5" s="20"/>
      <c r="AF5" s="20"/>
      <c r="AG5" s="20"/>
      <c r="AH5" s="20"/>
      <c r="AI5" s="20"/>
      <c r="AK5" s="14" t="s">
        <v>24</v>
      </c>
    </row>
    <row r="6" spans="2:37" ht="18" customHeight="1">
      <c r="B6" s="15"/>
      <c r="C6" s="16" t="b">
        <v>0</v>
      </c>
      <c r="D6" s="17"/>
      <c r="E6" s="18" t="s">
        <v>27</v>
      </c>
      <c r="F6" s="19"/>
      <c r="H6" s="13" t="s">
        <v>152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 t="s">
        <v>153</v>
      </c>
      <c r="W6" s="13"/>
      <c r="X6" s="13"/>
      <c r="Y6" s="13"/>
      <c r="Z6" s="13"/>
      <c r="AA6" s="13"/>
      <c r="AB6" s="13"/>
      <c r="AC6" s="13" t="s">
        <v>154</v>
      </c>
      <c r="AD6" s="13"/>
      <c r="AE6" s="13"/>
      <c r="AF6" s="13"/>
      <c r="AG6" s="13"/>
      <c r="AH6" s="13"/>
      <c r="AI6" s="13"/>
      <c r="AK6" s="14" t="s">
        <v>26</v>
      </c>
    </row>
    <row r="7" spans="2:37" ht="18" customHeight="1">
      <c r="B7" s="15"/>
      <c r="C7" s="16" t="b">
        <v>0</v>
      </c>
      <c r="D7" s="17"/>
      <c r="E7" s="18" t="s">
        <v>29</v>
      </c>
      <c r="F7" s="1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2"/>
      <c r="AD7" s="22"/>
      <c r="AE7" s="22"/>
      <c r="AF7" s="22"/>
      <c r="AG7" s="22"/>
      <c r="AH7" s="22"/>
      <c r="AI7" s="22"/>
      <c r="AK7" s="14" t="s">
        <v>28</v>
      </c>
    </row>
    <row r="8" spans="2:37" ht="18" customHeight="1">
      <c r="B8" s="15"/>
      <c r="C8" s="16" t="b">
        <v>0</v>
      </c>
      <c r="D8" s="17"/>
      <c r="E8" s="18" t="s">
        <v>31</v>
      </c>
      <c r="F8" s="19"/>
      <c r="H8" s="13" t="s">
        <v>155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K8" s="14" t="s">
        <v>30</v>
      </c>
    </row>
    <row r="9" spans="2:37" ht="18" customHeight="1">
      <c r="B9" s="8"/>
      <c r="C9" s="9" t="b">
        <v>0</v>
      </c>
      <c r="D9" s="10">
        <v>2</v>
      </c>
      <c r="E9" s="11" t="s">
        <v>33</v>
      </c>
      <c r="F9" s="12" t="s">
        <v>145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K9" s="14" t="s">
        <v>32</v>
      </c>
    </row>
    <row r="10" spans="2:37" ht="18" customHeight="1">
      <c r="B10" s="15"/>
      <c r="C10" s="16" t="b">
        <v>0</v>
      </c>
      <c r="D10" s="17"/>
      <c r="E10" s="18" t="s">
        <v>36</v>
      </c>
      <c r="F10" s="1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K10" s="14" t="s">
        <v>35</v>
      </c>
    </row>
    <row r="11" spans="2:37" ht="18" customHeight="1">
      <c r="B11" s="15"/>
      <c r="C11" s="16" t="b">
        <v>0</v>
      </c>
      <c r="D11" s="17"/>
      <c r="E11" s="24" t="s">
        <v>39</v>
      </c>
      <c r="F11" s="19"/>
      <c r="AK11" s="14" t="s">
        <v>38</v>
      </c>
    </row>
    <row r="12" spans="2:37" ht="18" customHeight="1">
      <c r="B12" s="15"/>
      <c r="C12" s="16" t="b">
        <v>0</v>
      </c>
      <c r="D12" s="17"/>
      <c r="E12" s="24" t="s">
        <v>41</v>
      </c>
      <c r="F12" s="19"/>
      <c r="H12" s="7" t="s">
        <v>156</v>
      </c>
      <c r="I12" s="7"/>
      <c r="J12" s="7"/>
      <c r="K12" s="7"/>
      <c r="L12" s="7"/>
      <c r="M12" s="7"/>
      <c r="N12" s="7"/>
      <c r="O12" s="25">
        <f>IF(Calcul!$B$51=0,"Dossier terminé","Étape "&amp;Calcul!$B$51&amp;" en cours")</f>
        <v>0</v>
      </c>
      <c r="P12" s="25"/>
      <c r="Q12" s="25"/>
      <c r="R12" s="25"/>
      <c r="S12" s="25"/>
      <c r="T12" s="25"/>
      <c r="U12" s="25"/>
      <c r="V12" s="25"/>
      <c r="W12" s="6"/>
      <c r="X12" s="26" t="s">
        <v>157</v>
      </c>
      <c r="Y12" s="26"/>
      <c r="Z12" s="26"/>
      <c r="AA12" s="27"/>
      <c r="AB12" s="27"/>
      <c r="AC12" s="6"/>
      <c r="AD12" s="6"/>
      <c r="AE12" s="6"/>
      <c r="AF12" s="6"/>
      <c r="AG12" s="6"/>
      <c r="AH12" s="6"/>
      <c r="AI12" s="6"/>
      <c r="AK12" s="14" t="s">
        <v>40</v>
      </c>
    </row>
    <row r="13" spans="2:37" ht="18" customHeight="1">
      <c r="B13" s="15"/>
      <c r="C13" s="16" t="b">
        <v>0</v>
      </c>
      <c r="D13" s="17"/>
      <c r="E13" s="24" t="s">
        <v>43</v>
      </c>
      <c r="F13" s="19"/>
      <c r="H13" s="28">
        <v>1</v>
      </c>
      <c r="I13" s="28"/>
      <c r="J13" s="28"/>
      <c r="K13" s="28"/>
      <c r="L13" s="28">
        <v>2</v>
      </c>
      <c r="M13" s="28"/>
      <c r="N13" s="28"/>
      <c r="O13" s="28"/>
      <c r="P13" s="28">
        <v>3</v>
      </c>
      <c r="Q13" s="28"/>
      <c r="R13" s="28"/>
      <c r="S13" s="28"/>
      <c r="T13" s="28">
        <v>4</v>
      </c>
      <c r="U13" s="28"/>
      <c r="V13" s="28"/>
      <c r="W13" s="28"/>
      <c r="X13" s="28">
        <v>5</v>
      </c>
      <c r="Y13" s="28"/>
      <c r="Z13" s="28"/>
      <c r="AA13" s="28"/>
      <c r="AB13" s="28">
        <v>6</v>
      </c>
      <c r="AC13" s="28"/>
      <c r="AD13" s="28"/>
      <c r="AE13" s="28"/>
      <c r="AF13" s="28">
        <v>7</v>
      </c>
      <c r="AG13" s="28"/>
      <c r="AH13" s="28"/>
      <c r="AI13" s="28"/>
      <c r="AK13" s="14" t="s">
        <v>42</v>
      </c>
    </row>
    <row r="14" spans="2:37" ht="18" customHeight="1">
      <c r="B14" s="29"/>
      <c r="C14" s="29"/>
      <c r="D14" s="29"/>
      <c r="E14" s="30" t="s">
        <v>146</v>
      </c>
      <c r="F14" s="29"/>
      <c r="H14" s="31" t="s">
        <v>22</v>
      </c>
      <c r="I14" s="31"/>
      <c r="J14" s="31"/>
      <c r="K14" s="31"/>
      <c r="L14" s="31" t="s">
        <v>33</v>
      </c>
      <c r="M14" s="31"/>
      <c r="N14" s="31"/>
      <c r="O14" s="31"/>
      <c r="P14" s="31" t="s">
        <v>52</v>
      </c>
      <c r="Q14" s="31"/>
      <c r="R14" s="31"/>
      <c r="S14" s="31"/>
      <c r="T14" s="31" t="s">
        <v>62</v>
      </c>
      <c r="U14" s="31"/>
      <c r="V14" s="31"/>
      <c r="W14" s="31"/>
      <c r="X14" s="31" t="s">
        <v>70</v>
      </c>
      <c r="Y14" s="31"/>
      <c r="Z14" s="31"/>
      <c r="AA14" s="31"/>
      <c r="AB14" s="31" t="s">
        <v>80</v>
      </c>
      <c r="AC14" s="31"/>
      <c r="AD14" s="31"/>
      <c r="AE14" s="31"/>
      <c r="AF14" s="31" t="s">
        <v>96</v>
      </c>
      <c r="AG14" s="31"/>
      <c r="AH14" s="31"/>
      <c r="AI14" s="31"/>
      <c r="AK14" s="14" t="s">
        <v>146</v>
      </c>
    </row>
    <row r="15" spans="2:37" ht="18" customHeight="1">
      <c r="B15" s="15"/>
      <c r="C15" s="16" t="b">
        <v>0</v>
      </c>
      <c r="D15" s="17"/>
      <c r="E15" s="18" t="s">
        <v>45</v>
      </c>
      <c r="F15" s="19"/>
      <c r="H15" s="32">
        <f>Calcul!$B$52&amp;" · "&amp;INDEX(Calcul!$C$43:$C$49,Calcul!$B$52)</f>
        <v>0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>
        <f>INDEX(Calcul!$M$43:$M$49,Calcul!$B$52)</f>
        <v>0</v>
      </c>
      <c r="AC15" s="33"/>
      <c r="AD15" s="33"/>
      <c r="AE15" s="33"/>
      <c r="AF15" s="33"/>
      <c r="AG15" s="33"/>
      <c r="AH15" s="33"/>
      <c r="AI15" s="33"/>
      <c r="AK15" s="14" t="s">
        <v>44</v>
      </c>
    </row>
    <row r="16" spans="2:37" ht="18" customHeight="1">
      <c r="B16" s="15"/>
      <c r="C16" s="16" t="b">
        <v>0</v>
      </c>
      <c r="D16" s="17"/>
      <c r="E16" s="24" t="s">
        <v>48</v>
      </c>
      <c r="F16" s="19"/>
      <c r="H16" s="34" t="s">
        <v>158</v>
      </c>
      <c r="I16" s="34"/>
      <c r="J16" s="34"/>
      <c r="K16" s="34"/>
      <c r="L16" s="34"/>
      <c r="M16" s="34"/>
      <c r="N16" s="35">
        <f>INDEX(Calcul!$N$43:$N$49,Calcul!$B$52)</f>
        <v>0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K16" s="14" t="s">
        <v>47</v>
      </c>
    </row>
    <row r="17" spans="2:37" ht="18" customHeight="1">
      <c r="B17" s="15"/>
      <c r="C17" s="16" t="b">
        <v>0</v>
      </c>
      <c r="D17" s="17"/>
      <c r="E17" s="24" t="s">
        <v>50</v>
      </c>
      <c r="F17" s="19"/>
      <c r="H17" s="34" t="s">
        <v>159</v>
      </c>
      <c r="I17" s="34"/>
      <c r="J17" s="34"/>
      <c r="K17" s="34"/>
      <c r="L17" s="34"/>
      <c r="M17" s="34"/>
      <c r="N17" s="35">
        <f>INDEX(Calcul!$O$43:$O$49,Calcul!$B$52)</f>
        <v>0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K17" s="14" t="s">
        <v>49</v>
      </c>
    </row>
    <row r="18" spans="2:37" ht="18" customHeight="1">
      <c r="B18" s="8"/>
      <c r="C18" s="9" t="b">
        <v>0</v>
      </c>
      <c r="D18" s="10">
        <v>3</v>
      </c>
      <c r="E18" s="11" t="s">
        <v>52</v>
      </c>
      <c r="F18" s="12" t="s">
        <v>145</v>
      </c>
      <c r="H18" s="34" t="s">
        <v>160</v>
      </c>
      <c r="I18" s="34"/>
      <c r="J18" s="34"/>
      <c r="K18" s="34"/>
      <c r="L18" s="34"/>
      <c r="M18" s="34"/>
      <c r="N18" s="35">
        <f>INDEX(Calcul!$P$43:$P$49,Calcul!$B$52)</f>
        <v>0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K18" s="14" t="s">
        <v>51</v>
      </c>
    </row>
    <row r="19" spans="2:37" ht="18" customHeight="1">
      <c r="B19" s="15"/>
      <c r="C19" s="16" t="b">
        <v>0</v>
      </c>
      <c r="D19" s="17"/>
      <c r="E19" s="18" t="s">
        <v>54</v>
      </c>
      <c r="F19" s="19"/>
      <c r="H19" s="34"/>
      <c r="I19" s="34"/>
      <c r="J19" s="34"/>
      <c r="K19" s="34"/>
      <c r="L19" s="34"/>
      <c r="M19" s="34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K19" s="14" t="s">
        <v>53</v>
      </c>
    </row>
    <row r="20" spans="2:37" ht="18" customHeight="1">
      <c r="B20" s="15"/>
      <c r="C20" s="16" t="b">
        <v>0</v>
      </c>
      <c r="D20" s="17"/>
      <c r="E20" s="18" t="s">
        <v>56</v>
      </c>
      <c r="F20" s="19"/>
      <c r="H20" s="34"/>
      <c r="I20" s="34"/>
      <c r="J20" s="34"/>
      <c r="K20" s="34"/>
      <c r="L20" s="34"/>
      <c r="M20" s="34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K20" s="14" t="s">
        <v>55</v>
      </c>
    </row>
    <row r="21" spans="2:37" ht="18" customHeight="1">
      <c r="B21" s="15"/>
      <c r="C21" s="16" t="b">
        <v>0</v>
      </c>
      <c r="D21" s="17"/>
      <c r="E21" s="18" t="s">
        <v>58</v>
      </c>
      <c r="F21" s="19"/>
      <c r="H21" s="34"/>
      <c r="I21" s="34"/>
      <c r="J21" s="34"/>
      <c r="K21" s="34"/>
      <c r="L21" s="34"/>
      <c r="M21" s="34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K21" s="14" t="s">
        <v>57</v>
      </c>
    </row>
    <row r="22" spans="2:37" ht="18" customHeight="1">
      <c r="B22" s="15"/>
      <c r="C22" s="16" t="b">
        <v>0</v>
      </c>
      <c r="D22" s="17"/>
      <c r="E22" s="18" t="s">
        <v>60</v>
      </c>
      <c r="F22" s="19"/>
      <c r="H22" s="34" t="s">
        <v>161</v>
      </c>
      <c r="I22" s="34"/>
      <c r="J22" s="34"/>
      <c r="K22" s="34"/>
      <c r="L22" s="34"/>
      <c r="M22" s="34"/>
      <c r="N22" s="35">
        <f>INDEX(Calcul!$Q$43:$Q$49,Calcul!$B$52)</f>
        <v>0</v>
      </c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K22" s="14" t="s">
        <v>59</v>
      </c>
    </row>
    <row r="23" spans="2:37" ht="18" customHeight="1">
      <c r="B23" s="8"/>
      <c r="C23" s="9" t="b">
        <v>0</v>
      </c>
      <c r="D23" s="10">
        <v>4</v>
      </c>
      <c r="E23" s="11" t="s">
        <v>62</v>
      </c>
      <c r="F23" s="12" t="s">
        <v>145</v>
      </c>
      <c r="H23" s="34" t="s">
        <v>162</v>
      </c>
      <c r="I23" s="34"/>
      <c r="J23" s="34"/>
      <c r="K23" s="34"/>
      <c r="L23" s="34"/>
      <c r="M23" s="34"/>
      <c r="N23" s="35">
        <f>IF('Racco D2'!$AC$7="","DLPI non renseignée",IF('Racco D2'!$AC$7-TODAY()&gt;0,"J-"&amp;('Racco D2'!$AC$7-TODAY())&amp;" avant la DLPI",IF('Racco D2'!$AC$7-TODAY()=0,"DLPI aujourd'hui","DLPI dépassée de "&amp;(TODAY()-'Racco D2'!$AC$7)&amp;" j")))</f>
        <v>0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K23" s="14" t="s">
        <v>61</v>
      </c>
    </row>
    <row r="24" spans="2:37" ht="18" customHeight="1">
      <c r="B24" s="15"/>
      <c r="C24" s="16" t="b">
        <v>0</v>
      </c>
      <c r="D24" s="17"/>
      <c r="E24" s="18" t="s">
        <v>64</v>
      </c>
      <c r="F24" s="19"/>
      <c r="H24" s="36">
        <f>IF(OR(Calcul!$B$51=Calcul!$B$52,Calcul!$B$51=0),"Touche une étape de la frise ou le nom d'une grande tâche pour voir sa situation.","Étape en cours : "&amp;Calcul!$B$51&amp;" · "&amp;INDEX(Calcul!$C$43:$C$49,Calcul!$B$51))</f>
        <v>0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K24" s="14" t="s">
        <v>63</v>
      </c>
    </row>
    <row r="25" spans="2:37" ht="18" customHeight="1">
      <c r="B25" s="15"/>
      <c r="C25" s="16" t="b">
        <v>0</v>
      </c>
      <c r="D25" s="17"/>
      <c r="E25" s="18" t="s">
        <v>66</v>
      </c>
      <c r="F25" s="19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K25" s="14" t="s">
        <v>65</v>
      </c>
    </row>
    <row r="26" spans="2:37" ht="18" customHeight="1">
      <c r="B26" s="15"/>
      <c r="C26" s="16" t="b">
        <v>0</v>
      </c>
      <c r="D26" s="17"/>
      <c r="E26" s="18" t="s">
        <v>68</v>
      </c>
      <c r="F26" s="19"/>
      <c r="AK26" s="14" t="s">
        <v>67</v>
      </c>
    </row>
    <row r="27" spans="2:37" ht="18" customHeight="1">
      <c r="B27" s="8"/>
      <c r="C27" s="9" t="b">
        <v>0</v>
      </c>
      <c r="D27" s="10">
        <v>5</v>
      </c>
      <c r="E27" s="11" t="s">
        <v>70</v>
      </c>
      <c r="F27" s="12" t="s">
        <v>145</v>
      </c>
      <c r="H27" s="7" t="s">
        <v>163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K27" s="14" t="s">
        <v>69</v>
      </c>
    </row>
    <row r="28" spans="2:37" ht="18" customHeight="1">
      <c r="B28" s="15"/>
      <c r="C28" s="16" t="b">
        <v>0</v>
      </c>
      <c r="D28" s="17"/>
      <c r="E28" s="18" t="s">
        <v>72</v>
      </c>
      <c r="F28" s="19"/>
      <c r="H28" s="37" t="s">
        <v>164</v>
      </c>
      <c r="I28" s="37"/>
      <c r="J28" s="37"/>
      <c r="K28" s="37"/>
      <c r="L28" s="37"/>
      <c r="M28" s="37"/>
      <c r="N28" s="37"/>
      <c r="O28" s="37"/>
      <c r="P28" s="37"/>
      <c r="Q28" s="37"/>
      <c r="R28" s="37" t="s">
        <v>165</v>
      </c>
      <c r="S28" s="37"/>
      <c r="T28" s="37"/>
      <c r="U28" s="37"/>
      <c r="V28" s="37"/>
      <c r="W28" s="37"/>
      <c r="X28" s="37"/>
      <c r="Y28" s="38" t="s">
        <v>166</v>
      </c>
      <c r="Z28" s="38"/>
      <c r="AA28" s="37" t="s">
        <v>167</v>
      </c>
      <c r="AB28" s="37"/>
      <c r="AC28" s="37"/>
      <c r="AD28" s="37"/>
      <c r="AE28" s="37"/>
      <c r="AF28" s="37"/>
      <c r="AG28" s="37"/>
      <c r="AH28" s="38" t="s">
        <v>166</v>
      </c>
      <c r="AI28" s="38"/>
      <c r="AK28" s="14" t="s">
        <v>71</v>
      </c>
    </row>
    <row r="29" spans="2:37" ht="18" customHeight="1">
      <c r="B29" s="15"/>
      <c r="C29" s="16" t="b">
        <v>0</v>
      </c>
      <c r="D29" s="17"/>
      <c r="E29" s="18" t="s">
        <v>74</v>
      </c>
      <c r="F29" s="1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40">
        <f>IF(Calcul!$C$945="","—",Calcul!$D$945&amp;" "&amp;Calcul!$C$945)</f>
        <v>0</v>
      </c>
      <c r="S29" s="40"/>
      <c r="T29" s="40"/>
      <c r="U29" s="40"/>
      <c r="V29" s="40"/>
      <c r="W29" s="40"/>
      <c r="X29" s="40"/>
      <c r="Y29" s="40"/>
      <c r="Z29" s="40"/>
      <c r="AA29" s="40">
        <f>IF(Calcul!$C$946="","—",Calcul!$D$946&amp;" "&amp;Calcul!$C$946)</f>
        <v>0</v>
      </c>
      <c r="AB29" s="40"/>
      <c r="AC29" s="40"/>
      <c r="AD29" s="40"/>
      <c r="AE29" s="40"/>
      <c r="AF29" s="40"/>
      <c r="AG29" s="40"/>
      <c r="AH29" s="40"/>
      <c r="AI29" s="40"/>
      <c r="AK29" s="14" t="s">
        <v>73</v>
      </c>
    </row>
    <row r="30" spans="2:37" ht="18" customHeight="1">
      <c r="B30" s="15"/>
      <c r="C30" s="16" t="b">
        <v>0</v>
      </c>
      <c r="D30" s="17"/>
      <c r="E30" s="18" t="s">
        <v>76</v>
      </c>
      <c r="F30" s="19"/>
      <c r="H30" s="41">
        <f>IF(ISNUMBER('Racco D2'!$H$29),"Départ · "&amp;CHOOSE(WEEKDAY('Racco D2'!$H$29),"dimanche","lundi","mardi","mercredi","jeudi","vendredi","samedi"),"")</f>
        <v>0</v>
      </c>
      <c r="I30" s="41"/>
      <c r="J30" s="41"/>
      <c r="K30" s="41"/>
      <c r="L30" s="41"/>
      <c r="M30" s="41"/>
      <c r="N30" s="41"/>
      <c r="O30" s="41"/>
      <c r="P30" s="41"/>
      <c r="Q30" s="41"/>
      <c r="R30" s="42">
        <f>Calcul!$E$945</f>
        <v>0</v>
      </c>
      <c r="S30" s="42"/>
      <c r="T30" s="42"/>
      <c r="U30" s="42"/>
      <c r="V30" s="42"/>
      <c r="W30" s="42"/>
      <c r="X30" s="42"/>
      <c r="Y30" s="42"/>
      <c r="Z30" s="42"/>
      <c r="AA30" s="42">
        <f>Calcul!$E$946</f>
        <v>0</v>
      </c>
      <c r="AB30" s="42"/>
      <c r="AC30" s="42"/>
      <c r="AD30" s="42"/>
      <c r="AE30" s="42"/>
      <c r="AF30" s="42"/>
      <c r="AG30" s="42"/>
      <c r="AH30" s="42"/>
      <c r="AI30" s="42"/>
      <c r="AK30" s="14" t="s">
        <v>75</v>
      </c>
    </row>
    <row r="31" spans="2:37" ht="18" customHeight="1">
      <c r="B31" s="15"/>
      <c r="C31" s="16" t="b">
        <v>0</v>
      </c>
      <c r="D31" s="17"/>
      <c r="E31" s="18" t="s">
        <v>78</v>
      </c>
      <c r="F31" s="19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K31" s="14" t="s">
        <v>77</v>
      </c>
    </row>
    <row r="32" spans="2:37" ht="18" customHeight="1">
      <c r="B32" s="8"/>
      <c r="C32" s="9" t="b">
        <v>0</v>
      </c>
      <c r="D32" s="10">
        <v>6</v>
      </c>
      <c r="E32" s="11" t="s">
        <v>80</v>
      </c>
      <c r="F32" s="12" t="s">
        <v>145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K32" s="14" t="s">
        <v>79</v>
      </c>
    </row>
    <row r="33" spans="2:37" ht="18" customHeight="1">
      <c r="B33" s="15"/>
      <c r="C33" s="16" t="b">
        <v>0</v>
      </c>
      <c r="D33" s="17"/>
      <c r="E33" s="18" t="s">
        <v>82</v>
      </c>
      <c r="F33" s="19"/>
      <c r="H33" s="43" t="s">
        <v>168</v>
      </c>
      <c r="I33" s="43"/>
      <c r="J33" s="43"/>
      <c r="K33" s="43"/>
      <c r="L33" s="43"/>
      <c r="M33" s="43"/>
      <c r="N33" s="43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K33" s="14" t="s">
        <v>81</v>
      </c>
    </row>
    <row r="34" spans="2:37" ht="18" customHeight="1">
      <c r="B34" s="15"/>
      <c r="C34" s="16" t="b">
        <v>0</v>
      </c>
      <c r="D34" s="17"/>
      <c r="E34" s="24" t="s">
        <v>85</v>
      </c>
      <c r="F34" s="19"/>
      <c r="H34" s="37" t="s">
        <v>165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8" t="s">
        <v>166</v>
      </c>
      <c r="U34" s="38"/>
      <c r="V34" s="37" t="s">
        <v>167</v>
      </c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8" t="s">
        <v>166</v>
      </c>
      <c r="AI34" s="38"/>
      <c r="AK34" s="14" t="s">
        <v>84</v>
      </c>
    </row>
    <row r="35" spans="2:37" ht="18" customHeight="1">
      <c r="B35" s="15"/>
      <c r="C35" s="16" t="b">
        <v>0</v>
      </c>
      <c r="D35" s="17"/>
      <c r="E35" s="24" t="s">
        <v>87</v>
      </c>
      <c r="F35" s="19"/>
      <c r="H35" s="40">
        <f>IF(Calcul!$C$945="","—",Calcul!$D$945&amp;" "&amp;Calcul!$C$945)</f>
        <v>0</v>
      </c>
      <c r="I35" s="40"/>
      <c r="J35" s="40"/>
      <c r="K35" s="40"/>
      <c r="L35" s="40"/>
      <c r="M35" s="40"/>
      <c r="N35" s="40"/>
      <c r="O35" s="40"/>
      <c r="P35" s="40"/>
      <c r="Q35" s="40"/>
      <c r="R35" s="45">
        <f>Calcul!$E$945</f>
        <v>0</v>
      </c>
      <c r="S35" s="45"/>
      <c r="T35" s="45"/>
      <c r="U35" s="45"/>
      <c r="V35" s="40">
        <f>IF(Calcul!$C$946="","—",Calcul!$D$946&amp;" "&amp;Calcul!$C$946)</f>
        <v>0</v>
      </c>
      <c r="W35" s="40"/>
      <c r="X35" s="40"/>
      <c r="Y35" s="40"/>
      <c r="Z35" s="40"/>
      <c r="AA35" s="40"/>
      <c r="AB35" s="40"/>
      <c r="AC35" s="40"/>
      <c r="AD35" s="40"/>
      <c r="AE35" s="40"/>
      <c r="AF35" s="45">
        <f>Calcul!$E$946</f>
        <v>0</v>
      </c>
      <c r="AG35" s="45"/>
      <c r="AH35" s="45"/>
      <c r="AI35" s="45"/>
      <c r="AK35" s="14" t="s">
        <v>86</v>
      </c>
    </row>
    <row r="36" spans="2:37" ht="18" customHeight="1">
      <c r="B36" s="29"/>
      <c r="C36" s="29"/>
      <c r="D36" s="29"/>
      <c r="E36" s="30" t="s">
        <v>146</v>
      </c>
      <c r="F36" s="29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K36" s="14" t="s">
        <v>146</v>
      </c>
    </row>
    <row r="37" spans="2:37" ht="18" customHeight="1">
      <c r="B37" s="15"/>
      <c r="C37" s="16" t="b">
        <v>0</v>
      </c>
      <c r="D37" s="17"/>
      <c r="E37" s="18" t="s">
        <v>89</v>
      </c>
      <c r="F37" s="19"/>
      <c r="H37" s="46" t="s">
        <v>169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8" t="s">
        <v>166</v>
      </c>
      <c r="AI37" s="38"/>
      <c r="AK37" s="14" t="s">
        <v>88</v>
      </c>
    </row>
    <row r="38" spans="2:37" ht="18" customHeight="1">
      <c r="B38" s="15"/>
      <c r="C38" s="16" t="b">
        <v>0</v>
      </c>
      <c r="D38" s="17"/>
      <c r="E38" s="24" t="s">
        <v>92</v>
      </c>
      <c r="F38" s="19"/>
      <c r="H38" s="47">
        <f>MID(Calcul!$B$82,1,5)&amp;" "&amp;MID(Calcul!$B$82,6,5)&amp;" "&amp;MID(Calcul!$B$82,11,5)&amp;" "&amp;MID(Calcul!$B$82,16,5)&amp;" "&amp;MID(Calcul!$B$82,21,5)</f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K38" s="14" t="s">
        <v>91</v>
      </c>
    </row>
    <row r="39" spans="2:37" ht="18" customHeight="1">
      <c r="B39" s="15"/>
      <c r="C39" s="16" t="b">
        <v>0</v>
      </c>
      <c r="D39" s="17"/>
      <c r="E39" s="24" t="s">
        <v>94</v>
      </c>
      <c r="F39" s="19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K39" s="14" t="s">
        <v>93</v>
      </c>
    </row>
    <row r="40" spans="2:37" ht="18" customHeight="1">
      <c r="B40" s="8"/>
      <c r="C40" s="9" t="b">
        <v>0</v>
      </c>
      <c r="D40" s="10">
        <v>7</v>
      </c>
      <c r="E40" s="11" t="s">
        <v>96</v>
      </c>
      <c r="F40" s="12" t="s">
        <v>145</v>
      </c>
      <c r="H40" s="48" t="s">
        <v>127</v>
      </c>
      <c r="I40" s="48"/>
      <c r="J40" s="48"/>
      <c r="K40" s="49">
        <f>MID(Calcul!$B$329,1,5)&amp;" "&amp;MID(Calcul!$B$329,6,5)&amp;" "&amp;MID(Calcul!$B$329,11,5)</f>
        <v>0</v>
      </c>
      <c r="L40" s="49"/>
      <c r="M40" s="49"/>
      <c r="N40" s="49"/>
      <c r="O40" s="49"/>
      <c r="P40" s="49"/>
      <c r="Q40" s="49"/>
      <c r="R40" s="49"/>
      <c r="S40" s="49"/>
      <c r="T40" s="38" t="s">
        <v>166</v>
      </c>
      <c r="U40" s="38"/>
      <c r="V40" s="48" t="s">
        <v>137</v>
      </c>
      <c r="W40" s="48"/>
      <c r="X40" s="48"/>
      <c r="Y40" s="49">
        <f>MID(Calcul!$B$637,1,5)&amp;" "&amp;MID(Calcul!$B$637,6,5)&amp;" "&amp;MID(Calcul!$B$637,11,5)&amp;" "&amp;MID(Calcul!$B$637,16,5)</f>
        <v>0</v>
      </c>
      <c r="Z40" s="49"/>
      <c r="AA40" s="49"/>
      <c r="AB40" s="49"/>
      <c r="AC40" s="49"/>
      <c r="AD40" s="49"/>
      <c r="AE40" s="49"/>
      <c r="AF40" s="49"/>
      <c r="AG40" s="49"/>
      <c r="AH40" s="38" t="s">
        <v>166</v>
      </c>
      <c r="AI40" s="38"/>
      <c r="AK40" s="14" t="s">
        <v>95</v>
      </c>
    </row>
    <row r="41" spans="2:37" ht="18" customHeight="1">
      <c r="B41" s="15"/>
      <c r="C41" s="16" t="b">
        <v>0</v>
      </c>
      <c r="D41" s="17"/>
      <c r="E41" s="18" t="s">
        <v>98</v>
      </c>
      <c r="F41" s="19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K41" s="14" t="s">
        <v>97</v>
      </c>
    </row>
    <row r="42" spans="2:37" ht="18" customHeight="1">
      <c r="B42" s="15"/>
      <c r="C42" s="16" t="b">
        <v>0</v>
      </c>
      <c r="D42" s="17"/>
      <c r="E42" s="18" t="s">
        <v>100</v>
      </c>
      <c r="F42" s="19"/>
      <c r="H42" s="48" t="s">
        <v>140</v>
      </c>
      <c r="I42" s="48"/>
      <c r="J42" s="48"/>
      <c r="K42" s="49">
        <f>MID(Calcul!$B$790,1,5)&amp;" "&amp;MID(Calcul!$B$790,6,5)</f>
        <v>0</v>
      </c>
      <c r="L42" s="49"/>
      <c r="M42" s="49"/>
      <c r="N42" s="49"/>
      <c r="O42" s="49"/>
      <c r="P42" s="49"/>
      <c r="Q42" s="49"/>
      <c r="R42" s="49"/>
      <c r="S42" s="49"/>
      <c r="T42" s="38" t="s">
        <v>166</v>
      </c>
      <c r="U42" s="38"/>
      <c r="V42" s="48" t="s">
        <v>141</v>
      </c>
      <c r="W42" s="48"/>
      <c r="X42" s="48"/>
      <c r="Y42" s="49">
        <f>MID(Calcul!$B$943,1,5)&amp;" "&amp;MID(Calcul!$B$943,6,5)</f>
        <v>0</v>
      </c>
      <c r="Z42" s="49"/>
      <c r="AA42" s="49"/>
      <c r="AB42" s="49"/>
      <c r="AC42" s="49"/>
      <c r="AD42" s="49"/>
      <c r="AE42" s="49"/>
      <c r="AF42" s="49"/>
      <c r="AG42" s="49"/>
      <c r="AH42" s="38" t="s">
        <v>166</v>
      </c>
      <c r="AI42" s="38"/>
      <c r="AK42" s="14" t="s">
        <v>99</v>
      </c>
    </row>
    <row r="43" spans="2:37" ht="18" customHeight="1">
      <c r="B43" s="15"/>
      <c r="C43" s="16" t="b">
        <v>0</v>
      </c>
      <c r="D43" s="17"/>
      <c r="E43" s="18" t="s">
        <v>102</v>
      </c>
      <c r="F43" s="19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K43" s="14" t="s">
        <v>101</v>
      </c>
    </row>
    <row r="44" spans="2:37" ht="18" customHeight="1">
      <c r="B44" s="6"/>
      <c r="C44" s="6"/>
      <c r="D44" s="6"/>
      <c r="E44" s="6"/>
      <c r="F44" s="6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K44" s="14"/>
    </row>
    <row r="45" spans="2:37" ht="18" customHeight="1">
      <c r="B45" s="1"/>
      <c r="C45" s="1"/>
      <c r="D45" s="1"/>
      <c r="E45" s="1"/>
      <c r="F45" s="1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K45" s="14"/>
    </row>
    <row r="46" spans="2:37" ht="18" customHeight="1">
      <c r="B46" s="1"/>
      <c r="C46" s="1"/>
      <c r="D46" s="1"/>
      <c r="E46" s="1"/>
      <c r="F46" s="1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K46" s="14"/>
    </row>
    <row r="47" spans="2:37" ht="18" customHeight="1">
      <c r="B47" s="1"/>
      <c r="C47" s="1"/>
      <c r="D47" s="1"/>
      <c r="E47" s="1"/>
      <c r="F47" s="1"/>
      <c r="AK47" s="14"/>
    </row>
    <row r="48" spans="2:37" ht="18" customHeight="1">
      <c r="B48" s="1"/>
      <c r="C48" s="1"/>
      <c r="D48" s="1"/>
      <c r="E48" s="1"/>
      <c r="F48" s="1"/>
      <c r="AK48" s="14"/>
    </row>
    <row r="49" spans="2:37" ht="18" customHeight="1">
      <c r="B49" s="1"/>
      <c r="C49" s="1"/>
      <c r="D49" s="1"/>
      <c r="E49" s="1"/>
      <c r="F49" s="1"/>
      <c r="AK49" s="14"/>
    </row>
    <row r="50" spans="2:37" ht="18" customHeight="1">
      <c r="B50" s="1"/>
      <c r="C50" s="1"/>
      <c r="D50" s="1"/>
      <c r="E50" s="1"/>
      <c r="F50" s="1"/>
      <c r="AK50" s="14"/>
    </row>
    <row r="51" spans="2:37" ht="18" customHeight="1">
      <c r="B51" s="1"/>
      <c r="C51" s="1"/>
      <c r="D51" s="1"/>
      <c r="E51" s="1"/>
      <c r="F51" s="1"/>
      <c r="AK51" s="14"/>
    </row>
    <row r="52" spans="2:37" ht="18" customHeight="1">
      <c r="B52" s="1"/>
      <c r="C52" s="1"/>
      <c r="D52" s="1"/>
      <c r="E52" s="1"/>
      <c r="F52" s="1"/>
      <c r="AK52" s="14"/>
    </row>
  </sheetData>
  <mergeCells count="89">
    <mergeCell ref="B1:AI1"/>
    <mergeCell ref="B3:D3"/>
    <mergeCell ref="H3:U3"/>
    <mergeCell ref="H4:N4"/>
    <mergeCell ref="H5:N5"/>
    <mergeCell ref="O4:U4"/>
    <mergeCell ref="O5:U5"/>
    <mergeCell ref="V4:AB4"/>
    <mergeCell ref="V5:AB5"/>
    <mergeCell ref="AC4:AI4"/>
    <mergeCell ref="AC5:AI5"/>
    <mergeCell ref="H6:U6"/>
    <mergeCell ref="H7:U7"/>
    <mergeCell ref="V6:AB6"/>
    <mergeCell ref="V7:AB7"/>
    <mergeCell ref="AC6:AI6"/>
    <mergeCell ref="AC7:AI7"/>
    <mergeCell ref="H8:AI8"/>
    <mergeCell ref="H9:N9"/>
    <mergeCell ref="O9:U9"/>
    <mergeCell ref="V9:AB9"/>
    <mergeCell ref="AC9:AI9"/>
    <mergeCell ref="H12:N12"/>
    <mergeCell ref="O12:V12"/>
    <mergeCell ref="X12:Z12"/>
    <mergeCell ref="AA12:AB12"/>
    <mergeCell ref="H13:K13"/>
    <mergeCell ref="H14:K14"/>
    <mergeCell ref="L13:O13"/>
    <mergeCell ref="L14:O14"/>
    <mergeCell ref="P13:S13"/>
    <mergeCell ref="P14:S14"/>
    <mergeCell ref="T13:W13"/>
    <mergeCell ref="T14:W14"/>
    <mergeCell ref="X13:AA13"/>
    <mergeCell ref="X14:AA14"/>
    <mergeCell ref="AB13:AE13"/>
    <mergeCell ref="AB14:AE14"/>
    <mergeCell ref="AF13:AI13"/>
    <mergeCell ref="AF14:AI14"/>
    <mergeCell ref="H15:AA15"/>
    <mergeCell ref="AB15:AI15"/>
    <mergeCell ref="H16:M16"/>
    <mergeCell ref="N16:AI16"/>
    <mergeCell ref="H17:M17"/>
    <mergeCell ref="N17:AI17"/>
    <mergeCell ref="H18:M21"/>
    <mergeCell ref="N18:AI21"/>
    <mergeCell ref="H22:M22"/>
    <mergeCell ref="N22:AI22"/>
    <mergeCell ref="H23:M23"/>
    <mergeCell ref="N23:AI23"/>
    <mergeCell ref="H24:AI24"/>
    <mergeCell ref="H27:U27"/>
    <mergeCell ref="H28:Q28"/>
    <mergeCell ref="H29:Q29"/>
    <mergeCell ref="H30:Q30"/>
    <mergeCell ref="R28:X28"/>
    <mergeCell ref="Y28:Z28"/>
    <mergeCell ref="R29:Z29"/>
    <mergeCell ref="R30:Z30"/>
    <mergeCell ref="AA28:AG28"/>
    <mergeCell ref="AH28:AI28"/>
    <mergeCell ref="AA29:AI29"/>
    <mergeCell ref="AA30:AI30"/>
    <mergeCell ref="H33:N33"/>
    <mergeCell ref="H34:S34"/>
    <mergeCell ref="T34:U34"/>
    <mergeCell ref="H35:Q35"/>
    <mergeCell ref="R35:U35"/>
    <mergeCell ref="V34:AG34"/>
    <mergeCell ref="AH34:AI34"/>
    <mergeCell ref="V35:AE35"/>
    <mergeCell ref="AF35:AI35"/>
    <mergeCell ref="H37:AG37"/>
    <mergeCell ref="AH37:AI37"/>
    <mergeCell ref="H38:AI38"/>
    <mergeCell ref="H40:J40"/>
    <mergeCell ref="K40:S40"/>
    <mergeCell ref="T40:U40"/>
    <mergeCell ref="V40:X40"/>
    <mergeCell ref="Y40:AG40"/>
    <mergeCell ref="AH40:AI40"/>
    <mergeCell ref="H42:J42"/>
    <mergeCell ref="K42:S42"/>
    <mergeCell ref="T42:U42"/>
    <mergeCell ref="V42:X42"/>
    <mergeCell ref="Y42:AG42"/>
    <mergeCell ref="AH42:AI42"/>
  </mergeCells>
  <conditionalFormatting sqref="AA30:AI30">
    <cfRule type="expression" dxfId="9" priority="41">
      <formula>Calcul!$E$946&lt;&gt;""</formula>
    </cfRule>
  </conditionalFormatting>
  <conditionalFormatting sqref="AB13:AE14">
    <cfRule type="expression" dxfId="6" priority="29">
      <formula>Calcul!$B$52=6</formula>
    </cfRule>
    <cfRule type="expression" dxfId="7" priority="30">
      <formula>Calcul!$L$48="ko"</formula>
    </cfRule>
    <cfRule type="expression" dxfId="5" priority="31">
      <formula>Calcul!$K$48</formula>
    </cfRule>
    <cfRule type="expression" dxfId="8" priority="32">
      <formula>Calcul!$B$51=6</formula>
    </cfRule>
  </conditionalFormatting>
  <conditionalFormatting sqref="AB15:AI15">
    <cfRule type="expression" dxfId="5" priority="37">
      <formula>INDEX(Calcul!$L$43:$L$49,Calcul!$B$52)="ok"</formula>
    </cfRule>
    <cfRule type="expression" dxfId="8" priority="38">
      <formula>INDEX(Calcul!$L$43:$L$49,Calcul!$B$52)="run"</formula>
    </cfRule>
    <cfRule type="expression" dxfId="7" priority="39">
      <formula>INDEX(Calcul!$L$43:$L$49,Calcul!$B$52)="ko"</formula>
    </cfRule>
  </conditionalFormatting>
  <conditionalFormatting sqref="AF13:AI14">
    <cfRule type="expression" dxfId="6" priority="33">
      <formula>Calcul!$B$52=7</formula>
    </cfRule>
    <cfRule type="expression" dxfId="7" priority="34">
      <formula>Calcul!$L$49="ko"</formula>
    </cfRule>
    <cfRule type="expression" dxfId="5" priority="35">
      <formula>Calcul!$K$49</formula>
    </cfRule>
    <cfRule type="expression" dxfId="8" priority="36">
      <formula>Calcul!$B$51=7</formula>
    </cfRule>
  </conditionalFormatting>
  <conditionalFormatting sqref="AF35:AI35">
    <cfRule type="expression" dxfId="9" priority="43">
      <formula>Calcul!$E$946&lt;&gt;""</formula>
    </cfRule>
  </conditionalFormatting>
  <conditionalFormatting sqref="B4:E51">
    <cfRule type="expression" dxfId="2" priority="3">
      <formula>IFERROR(INDEX(Calcul!$L$2:$L$39,MATCH($AK4,Calcul!$A$2:$A$39,0)),FALSE)</formula>
    </cfRule>
  </conditionalFormatting>
  <conditionalFormatting sqref="C4:C51">
    <cfRule type="expression" dxfId="0" priority="6">
      <formula>IFERROR(INDEX(Calcul!$D$2:$D$39,MATCH($AK4,Calcul!$A$2:$A$39,0)),FALSE)</formula>
    </cfRule>
    <cfRule type="expression" dxfId="4" priority="7">
      <formula>AND(NOT(IFERROR(INDEX(Calcul!$D$2:$D$39,MATCH($AK4,Calcul!$A$2:$A$39,0)),FALSE)),IFERROR(INDEX(Calcul!$F$2:$F$39,MATCH($AK4,Calcul!$A$2:$A$39,0)),FALSE))</formula>
    </cfRule>
  </conditionalFormatting>
  <conditionalFormatting sqref="E3">
    <cfRule type="expression" dxfId="0" priority="1">
      <formula>COUNTIF(Calcul!$K$43:$K$49,TRUE)=7</formula>
    </cfRule>
    <cfRule type="expression" dxfId="1" priority="2">
      <formula>COUNTIF(Calcul!$K$43:$K$49,TRUE)&gt;0</formula>
    </cfRule>
  </conditionalFormatting>
  <conditionalFormatting sqref="E4:E51">
    <cfRule type="expression" dxfId="0" priority="5">
      <formula>IFERROR(INDEX(Calcul!$F$2:$F$39,MATCH($AK4,Calcul!$A$2:$A$39,0)),FALSE)</formula>
    </cfRule>
  </conditionalFormatting>
  <conditionalFormatting sqref="F4:F51">
    <cfRule type="expression" dxfId="3" priority="4">
      <formula>IFERROR(INDEX(Calcul!$M$2:$M$39,MATCH($AK4,Calcul!$A$2:$A$39,0)),"")="ok"</formula>
    </cfRule>
  </conditionalFormatting>
  <conditionalFormatting sqref="H13:K14">
    <cfRule type="expression" dxfId="6" priority="9">
      <formula>Calcul!$B$52=1</formula>
    </cfRule>
    <cfRule type="expression" dxfId="7" priority="10">
      <formula>Calcul!$L$43="ko"</formula>
    </cfRule>
    <cfRule type="expression" dxfId="5" priority="11">
      <formula>Calcul!$K$43</formula>
    </cfRule>
    <cfRule type="expression" dxfId="8" priority="12">
      <formula>Calcul!$B$51=1</formula>
    </cfRule>
  </conditionalFormatting>
  <conditionalFormatting sqref="L13:O14">
    <cfRule type="expression" dxfId="6" priority="13">
      <formula>Calcul!$B$52=2</formula>
    </cfRule>
    <cfRule type="expression" dxfId="7" priority="14">
      <formula>Calcul!$L$44="ko"</formula>
    </cfRule>
    <cfRule type="expression" dxfId="5" priority="15">
      <formula>Calcul!$K$44</formula>
    </cfRule>
    <cfRule type="expression" dxfId="8" priority="16">
      <formula>Calcul!$B$51=2</formula>
    </cfRule>
  </conditionalFormatting>
  <conditionalFormatting sqref="O12:V12">
    <cfRule type="expression" dxfId="5" priority="8">
      <formula>Calcul!$B$51=0</formula>
    </cfRule>
  </conditionalFormatting>
  <conditionalFormatting sqref="P13:S14">
    <cfRule type="expression" dxfId="6" priority="17">
      <formula>Calcul!$B$52=3</formula>
    </cfRule>
    <cfRule type="expression" dxfId="7" priority="18">
      <formula>Calcul!$L$45="ko"</formula>
    </cfRule>
    <cfRule type="expression" dxfId="5" priority="19">
      <formula>Calcul!$K$45</formula>
    </cfRule>
    <cfRule type="expression" dxfId="8" priority="20">
      <formula>Calcul!$B$51=3</formula>
    </cfRule>
  </conditionalFormatting>
  <conditionalFormatting sqref="R30:Z30">
    <cfRule type="expression" dxfId="9" priority="40">
      <formula>Calcul!$E$945&lt;&gt;""</formula>
    </cfRule>
  </conditionalFormatting>
  <conditionalFormatting sqref="R35:U35">
    <cfRule type="expression" dxfId="9" priority="42">
      <formula>Calcul!$E$945&lt;&gt;""</formula>
    </cfRule>
  </conditionalFormatting>
  <conditionalFormatting sqref="T13:W14">
    <cfRule type="expression" dxfId="6" priority="21">
      <formula>Calcul!$B$52=4</formula>
    </cfRule>
    <cfRule type="expression" dxfId="7" priority="22">
      <formula>Calcul!$L$46="ko"</formula>
    </cfRule>
    <cfRule type="expression" dxfId="5" priority="23">
      <formula>Calcul!$K$46</formula>
    </cfRule>
    <cfRule type="expression" dxfId="8" priority="24">
      <formula>Calcul!$B$51=4</formula>
    </cfRule>
  </conditionalFormatting>
  <conditionalFormatting sqref="X13:AA14">
    <cfRule type="expression" dxfId="6" priority="25">
      <formula>Calcul!$B$52=5</formula>
    </cfRule>
    <cfRule type="expression" dxfId="7" priority="26">
      <formula>Calcul!$L$47="ko"</formula>
    </cfRule>
    <cfRule type="expression" dxfId="5" priority="27">
      <formula>Calcul!$K$47</formula>
    </cfRule>
    <cfRule type="expression" dxfId="8" priority="28">
      <formula>Calcul!$B$51=5</formula>
    </cfRule>
  </conditionalFormatting>
  <dataValidations count="3">
    <dataValidation type="date" operator="greaterThan" allowBlank="1" showInputMessage="1" showErrorMessage="1" errorTitle="DLPI" error="Entre une date." sqref="AC7:AI7">
      <formula1>36526</formula1>
    </dataValidation>
    <dataValidation type="list" allowBlank="1" showInputMessage="1" showErrorMessage="1" promptTitle="Étape affichée" prompt="Vide = étape en cours" sqref="AA12:AB12">
      <formula1>"1,2,3,4,5,6,7"</formula1>
    </dataValidation>
    <dataValidation type="date" operator="greaterThan" allowBlank="1" showInputMessage="1" showErrorMessage="1" errorTitle="Date de départ" error="Entre une date." promptTitle="Date de départ" prompt="Tape la date, par ex. 07/10/2026 ou Ctrl+; pour aujourd'hui" sqref="H29:Q29">
      <formula1>36526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46"/>
  <sheetViews>
    <sheetView workbookViewId="0"/>
  </sheetViews>
  <sheetFormatPr defaultRowHeight="15"/>
  <cols>
    <col min="1" max="1" width="8.7109375" customWidth="1"/>
    <col min="2" max="2" width="38.7109375" customWidth="1"/>
    <col min="3" max="26" width="13.7109375" customWidth="1"/>
  </cols>
  <sheetData>
    <row r="1" spans="1:14">
      <c r="A1" s="50" t="s">
        <v>7</v>
      </c>
      <c r="B1" s="50" t="s">
        <v>8</v>
      </c>
      <c r="C1" s="50" t="s">
        <v>9</v>
      </c>
      <c r="D1" s="50" t="s">
        <v>10</v>
      </c>
      <c r="E1" s="50" t="s">
        <v>11</v>
      </c>
      <c r="F1" s="50" t="s">
        <v>12</v>
      </c>
      <c r="G1" s="50" t="s">
        <v>13</v>
      </c>
      <c r="H1" s="50" t="s">
        <v>14</v>
      </c>
      <c r="I1" s="50" t="s">
        <v>15</v>
      </c>
      <c r="J1" s="50" t="s">
        <v>16</v>
      </c>
      <c r="K1" s="50" t="s">
        <v>17</v>
      </c>
      <c r="L1" s="50" t="s">
        <v>18</v>
      </c>
      <c r="M1" s="50" t="s">
        <v>19</v>
      </c>
      <c r="N1" s="50" t="s">
        <v>20</v>
      </c>
    </row>
    <row r="2" spans="1:14">
      <c r="A2" t="s">
        <v>21</v>
      </c>
      <c r="B2" t="s">
        <v>22</v>
      </c>
      <c r="C2">
        <v>1</v>
      </c>
      <c r="D2">
        <f>IF(ISLOGICAL('Racco D2'!$C$4),'Racco D2'!$C$4,FALSE)</f>
        <v>0</v>
      </c>
      <c r="E2">
        <f>D2</f>
        <v>0</v>
      </c>
      <c r="F2">
        <f>OR(E2,AND(Calcul!$F$3,Calcul!$F$4,Calcul!$F$5,Calcul!$F$6))</f>
        <v>0</v>
      </c>
      <c r="G2" t="b">
        <v>0</v>
      </c>
      <c r="I2" t="s">
        <v>23</v>
      </c>
      <c r="J2">
        <v>0</v>
      </c>
      <c r="K2">
        <v>4</v>
      </c>
      <c r="L2">
        <f>Calcul!$I$43</f>
        <v>0</v>
      </c>
      <c r="M2">
        <f>Calcul!$L$43</f>
        <v>0</v>
      </c>
    </row>
    <row r="3" spans="1:14">
      <c r="A3" t="s">
        <v>24</v>
      </c>
      <c r="B3" t="s">
        <v>25</v>
      </c>
      <c r="C3">
        <v>2</v>
      </c>
      <c r="D3">
        <f>IF(ISLOGICAL('Racco D2'!$C$5),'Racco D2'!$C$5,FALSE)</f>
        <v>0</v>
      </c>
      <c r="E3">
        <f>OR(D3,Calcul!$E$2)</f>
        <v>0</v>
      </c>
      <c r="F3">
        <f>E3</f>
        <v>0</v>
      </c>
      <c r="G3" t="b">
        <v>0</v>
      </c>
      <c r="H3" t="s">
        <v>21</v>
      </c>
      <c r="J3">
        <v>0</v>
      </c>
      <c r="K3">
        <v>5</v>
      </c>
      <c r="L3">
        <f>Calcul!$I$43</f>
        <v>0</v>
      </c>
      <c r="M3">
        <f>""</f>
        <v>0</v>
      </c>
    </row>
    <row r="4" spans="1:14">
      <c r="A4" t="s">
        <v>26</v>
      </c>
      <c r="B4" t="s">
        <v>27</v>
      </c>
      <c r="C4">
        <v>2</v>
      </c>
      <c r="D4">
        <f>IF(ISLOGICAL('Racco D2'!$C$6),'Racco D2'!$C$6,FALSE)</f>
        <v>0</v>
      </c>
      <c r="E4">
        <f>OR(D4,Calcul!$E$2)</f>
        <v>0</v>
      </c>
      <c r="F4">
        <f>E4</f>
        <v>0</v>
      </c>
      <c r="G4" t="b">
        <v>0</v>
      </c>
      <c r="H4" t="s">
        <v>21</v>
      </c>
      <c r="J4">
        <v>1</v>
      </c>
      <c r="K4">
        <v>6</v>
      </c>
      <c r="L4">
        <f>Calcul!$I$43</f>
        <v>0</v>
      </c>
      <c r="M4">
        <f>""</f>
        <v>0</v>
      </c>
    </row>
    <row r="5" spans="1:14">
      <c r="A5" t="s">
        <v>28</v>
      </c>
      <c r="B5" t="s">
        <v>29</v>
      </c>
      <c r="C5">
        <v>2</v>
      </c>
      <c r="D5">
        <f>IF(ISLOGICAL('Racco D2'!$C$7),'Racco D2'!$C$7,FALSE)</f>
        <v>0</v>
      </c>
      <c r="E5">
        <f>OR(D5,Calcul!$E$2)</f>
        <v>0</v>
      </c>
      <c r="F5">
        <f>E5</f>
        <v>0</v>
      </c>
      <c r="G5" t="b">
        <v>0</v>
      </c>
      <c r="H5" t="s">
        <v>21</v>
      </c>
      <c r="J5">
        <v>2</v>
      </c>
      <c r="K5">
        <v>7</v>
      </c>
      <c r="L5">
        <f>Calcul!$I$43</f>
        <v>0</v>
      </c>
      <c r="M5">
        <f>""</f>
        <v>0</v>
      </c>
    </row>
    <row r="6" spans="1:14">
      <c r="A6" t="s">
        <v>30</v>
      </c>
      <c r="B6" t="s">
        <v>31</v>
      </c>
      <c r="C6">
        <v>2</v>
      </c>
      <c r="D6">
        <f>IF(ISLOGICAL('Racco D2'!$C$8),'Racco D2'!$C$8,FALSE)</f>
        <v>0</v>
      </c>
      <c r="E6">
        <f>OR(D6,Calcul!$E$2)</f>
        <v>0</v>
      </c>
      <c r="F6">
        <f>E6</f>
        <v>0</v>
      </c>
      <c r="G6" t="b">
        <v>0</v>
      </c>
      <c r="H6" t="s">
        <v>21</v>
      </c>
      <c r="J6">
        <v>3</v>
      </c>
      <c r="K6">
        <v>8</v>
      </c>
      <c r="L6">
        <f>Calcul!$I$43</f>
        <v>0</v>
      </c>
      <c r="M6">
        <f>""</f>
        <v>0</v>
      </c>
    </row>
    <row r="7" spans="1:14">
      <c r="A7" t="s">
        <v>32</v>
      </c>
      <c r="B7" t="s">
        <v>33</v>
      </c>
      <c r="C7">
        <v>1</v>
      </c>
      <c r="D7">
        <f>IF(ISLOGICAL('Racco D2'!$C$9),'Racco D2'!$C$9,FALSE)</f>
        <v>0</v>
      </c>
      <c r="E7">
        <f>D7</f>
        <v>0</v>
      </c>
      <c r="F7">
        <f>OR(E7,OR(Calcul!$F$8,Calcul!$F$12))</f>
        <v>0</v>
      </c>
      <c r="G7" t="b">
        <v>0</v>
      </c>
      <c r="I7" t="s">
        <v>34</v>
      </c>
      <c r="J7">
        <v>1</v>
      </c>
      <c r="K7">
        <v>9</v>
      </c>
      <c r="L7">
        <f>Calcul!$I$44</f>
        <v>0</v>
      </c>
      <c r="M7">
        <f>Calcul!$L$44</f>
        <v>0</v>
      </c>
    </row>
    <row r="8" spans="1:14">
      <c r="A8" t="s">
        <v>35</v>
      </c>
      <c r="B8" t="s">
        <v>36</v>
      </c>
      <c r="C8">
        <v>2</v>
      </c>
      <c r="D8">
        <f>IF(ISLOGICAL('Racco D2'!$C$10),'Racco D2'!$C$10,FALSE)</f>
        <v>0</v>
      </c>
      <c r="E8">
        <f>D8</f>
        <v>0</v>
      </c>
      <c r="F8">
        <f>OR(E8,AND(Calcul!$F$9,Calcul!$F$10,Calcul!$F$11))</f>
        <v>0</v>
      </c>
      <c r="G8" t="b">
        <v>0</v>
      </c>
      <c r="H8" t="s">
        <v>32</v>
      </c>
      <c r="I8" t="s">
        <v>23</v>
      </c>
      <c r="J8">
        <v>0</v>
      </c>
      <c r="K8">
        <v>10</v>
      </c>
      <c r="L8">
        <f>Calcul!$I$44</f>
        <v>0</v>
      </c>
      <c r="M8">
        <f>""</f>
        <v>0</v>
      </c>
      <c r="N8" t="s">
        <v>37</v>
      </c>
    </row>
    <row r="9" spans="1:14">
      <c r="A9" t="s">
        <v>38</v>
      </c>
      <c r="B9" t="s">
        <v>39</v>
      </c>
      <c r="C9">
        <v>3</v>
      </c>
      <c r="D9">
        <f>IF(ISLOGICAL('Racco D2'!$C$11),'Racco D2'!$C$11,FALSE)</f>
        <v>0</v>
      </c>
      <c r="E9">
        <f>OR(D9,Calcul!$E$8)</f>
        <v>0</v>
      </c>
      <c r="F9">
        <f>E9</f>
        <v>0</v>
      </c>
      <c r="G9" t="b">
        <v>0</v>
      </c>
      <c r="H9" t="s">
        <v>35</v>
      </c>
      <c r="J9">
        <v>0</v>
      </c>
      <c r="K9">
        <v>11</v>
      </c>
      <c r="L9">
        <f>Calcul!$I$44</f>
        <v>0</v>
      </c>
      <c r="M9">
        <f>""</f>
        <v>0</v>
      </c>
    </row>
    <row r="10" spans="1:14">
      <c r="A10" t="s">
        <v>40</v>
      </c>
      <c r="B10" t="s">
        <v>41</v>
      </c>
      <c r="C10">
        <v>3</v>
      </c>
      <c r="D10">
        <f>IF(ISLOGICAL('Racco D2'!$C$12),'Racco D2'!$C$12,FALSE)</f>
        <v>0</v>
      </c>
      <c r="E10">
        <f>OR(D10,Calcul!$E$8)</f>
        <v>0</v>
      </c>
      <c r="F10">
        <f>E10</f>
        <v>0</v>
      </c>
      <c r="G10" t="b">
        <v>0</v>
      </c>
      <c r="H10" t="s">
        <v>35</v>
      </c>
      <c r="J10">
        <v>1</v>
      </c>
      <c r="K10">
        <v>12</v>
      </c>
      <c r="L10">
        <f>Calcul!$I$44</f>
        <v>0</v>
      </c>
      <c r="M10">
        <f>""</f>
        <v>0</v>
      </c>
    </row>
    <row r="11" spans="1:14">
      <c r="A11" t="s">
        <v>42</v>
      </c>
      <c r="B11" t="s">
        <v>43</v>
      </c>
      <c r="C11">
        <v>3</v>
      </c>
      <c r="D11">
        <f>IF(ISLOGICAL('Racco D2'!$C$13),'Racco D2'!$C$13,FALSE)</f>
        <v>0</v>
      </c>
      <c r="E11">
        <f>OR(D11,Calcul!$E$8)</f>
        <v>0</v>
      </c>
      <c r="F11">
        <f>E11</f>
        <v>0</v>
      </c>
      <c r="G11" t="b">
        <v>0</v>
      </c>
      <c r="H11" t="s">
        <v>35</v>
      </c>
      <c r="J11">
        <v>2</v>
      </c>
      <c r="K11">
        <v>13</v>
      </c>
      <c r="L11">
        <f>Calcul!$I$44</f>
        <v>0</v>
      </c>
      <c r="M11">
        <f>""</f>
        <v>0</v>
      </c>
    </row>
    <row r="12" spans="1:14">
      <c r="A12" t="s">
        <v>44</v>
      </c>
      <c r="B12" t="s">
        <v>45</v>
      </c>
      <c r="C12">
        <v>2</v>
      </c>
      <c r="D12">
        <f>IF(ISLOGICAL('Racco D2'!$C$15),'Racco D2'!$C$15,FALSE)</f>
        <v>0</v>
      </c>
      <c r="E12">
        <f>D12</f>
        <v>0</v>
      </c>
      <c r="F12">
        <f>OR(E12,AND(Calcul!$F$13,Calcul!$F$14))</f>
        <v>0</v>
      </c>
      <c r="G12" t="b">
        <v>0</v>
      </c>
      <c r="H12" t="s">
        <v>32</v>
      </c>
      <c r="I12" t="s">
        <v>23</v>
      </c>
      <c r="J12">
        <v>1</v>
      </c>
      <c r="K12">
        <v>15</v>
      </c>
      <c r="L12">
        <f>Calcul!$I$44</f>
        <v>0</v>
      </c>
      <c r="M12">
        <f>""</f>
        <v>0</v>
      </c>
      <c r="N12" t="s">
        <v>46</v>
      </c>
    </row>
    <row r="13" spans="1:14">
      <c r="A13" t="s">
        <v>47</v>
      </c>
      <c r="B13" t="s">
        <v>48</v>
      </c>
      <c r="C13">
        <v>3</v>
      </c>
      <c r="D13">
        <f>IF(ISLOGICAL('Racco D2'!$C$16),'Racco D2'!$C$16,FALSE)</f>
        <v>0</v>
      </c>
      <c r="E13">
        <f>OR(D13,Calcul!$E$12)</f>
        <v>0</v>
      </c>
      <c r="F13">
        <f>E13</f>
        <v>0</v>
      </c>
      <c r="G13" t="b">
        <v>0</v>
      </c>
      <c r="H13" t="s">
        <v>44</v>
      </c>
      <c r="J13">
        <v>0</v>
      </c>
      <c r="K13">
        <v>16</v>
      </c>
      <c r="L13">
        <f>Calcul!$I$44</f>
        <v>0</v>
      </c>
      <c r="M13">
        <f>""</f>
        <v>0</v>
      </c>
    </row>
    <row r="14" spans="1:14">
      <c r="A14" t="s">
        <v>49</v>
      </c>
      <c r="B14" t="s">
        <v>50</v>
      </c>
      <c r="C14">
        <v>3</v>
      </c>
      <c r="D14">
        <f>IF(ISLOGICAL('Racco D2'!$C$17),'Racco D2'!$C$17,FALSE)</f>
        <v>0</v>
      </c>
      <c r="E14">
        <f>OR(D14,Calcul!$E$12)</f>
        <v>0</v>
      </c>
      <c r="F14">
        <f>E14</f>
        <v>0</v>
      </c>
      <c r="G14" t="b">
        <v>0</v>
      </c>
      <c r="H14" t="s">
        <v>44</v>
      </c>
      <c r="J14">
        <v>1</v>
      </c>
      <c r="K14">
        <v>17</v>
      </c>
      <c r="L14">
        <f>Calcul!$I$44</f>
        <v>0</v>
      </c>
      <c r="M14">
        <f>""</f>
        <v>0</v>
      </c>
    </row>
    <row r="15" spans="1:14">
      <c r="A15" t="s">
        <v>51</v>
      </c>
      <c r="B15" t="s">
        <v>52</v>
      </c>
      <c r="C15">
        <v>1</v>
      </c>
      <c r="D15">
        <f>IF(ISLOGICAL('Racco D2'!$C$18),'Racco D2'!$C$18,FALSE)</f>
        <v>0</v>
      </c>
      <c r="E15">
        <f>D15</f>
        <v>0</v>
      </c>
      <c r="F15">
        <f>OR(E15,AND(Calcul!$F$16,Calcul!$F$17,Calcul!$F$18,Calcul!$F$19))</f>
        <v>0</v>
      </c>
      <c r="G15" t="b">
        <v>0</v>
      </c>
      <c r="I15" t="s">
        <v>23</v>
      </c>
      <c r="J15">
        <v>2</v>
      </c>
      <c r="K15">
        <v>18</v>
      </c>
      <c r="L15">
        <f>Calcul!$I$45</f>
        <v>0</v>
      </c>
      <c r="M15">
        <f>Calcul!$L$45</f>
        <v>0</v>
      </c>
    </row>
    <row r="16" spans="1:14">
      <c r="A16" t="s">
        <v>53</v>
      </c>
      <c r="B16" t="s">
        <v>54</v>
      </c>
      <c r="C16">
        <v>2</v>
      </c>
      <c r="D16">
        <f>IF(ISLOGICAL('Racco D2'!$C$19),'Racco D2'!$C$19,FALSE)</f>
        <v>0</v>
      </c>
      <c r="E16">
        <f>OR(D16,Calcul!$E$15)</f>
        <v>0</v>
      </c>
      <c r="F16">
        <f>E16</f>
        <v>0</v>
      </c>
      <c r="G16" t="b">
        <v>0</v>
      </c>
      <c r="H16" t="s">
        <v>51</v>
      </c>
      <c r="J16">
        <v>0</v>
      </c>
      <c r="K16">
        <v>19</v>
      </c>
      <c r="L16">
        <f>Calcul!$I$45</f>
        <v>0</v>
      </c>
      <c r="M16">
        <f>""</f>
        <v>0</v>
      </c>
    </row>
    <row r="17" spans="1:14">
      <c r="A17" t="s">
        <v>55</v>
      </c>
      <c r="B17" t="s">
        <v>56</v>
      </c>
      <c r="C17">
        <v>2</v>
      </c>
      <c r="D17">
        <f>IF(ISLOGICAL('Racco D2'!$C$20),'Racco D2'!$C$20,FALSE)</f>
        <v>0</v>
      </c>
      <c r="E17">
        <f>OR(D17,Calcul!$E$15)</f>
        <v>0</v>
      </c>
      <c r="F17">
        <f>E17</f>
        <v>0</v>
      </c>
      <c r="G17" t="b">
        <v>0</v>
      </c>
      <c r="H17" t="s">
        <v>51</v>
      </c>
      <c r="J17">
        <v>1</v>
      </c>
      <c r="K17">
        <v>20</v>
      </c>
      <c r="L17">
        <f>Calcul!$I$45</f>
        <v>0</v>
      </c>
      <c r="M17">
        <f>""</f>
        <v>0</v>
      </c>
    </row>
    <row r="18" spans="1:14">
      <c r="A18" t="s">
        <v>57</v>
      </c>
      <c r="B18" t="s">
        <v>58</v>
      </c>
      <c r="C18">
        <v>2</v>
      </c>
      <c r="D18">
        <f>IF(ISLOGICAL('Racco D2'!$C$21),'Racco D2'!$C$21,FALSE)</f>
        <v>0</v>
      </c>
      <c r="E18">
        <f>OR(D18,Calcul!$E$15)</f>
        <v>0</v>
      </c>
      <c r="F18">
        <f>E18</f>
        <v>0</v>
      </c>
      <c r="G18" t="b">
        <v>0</v>
      </c>
      <c r="H18" t="s">
        <v>51</v>
      </c>
      <c r="J18">
        <v>2</v>
      </c>
      <c r="K18">
        <v>21</v>
      </c>
      <c r="L18">
        <f>Calcul!$I$45</f>
        <v>0</v>
      </c>
      <c r="M18">
        <f>""</f>
        <v>0</v>
      </c>
    </row>
    <row r="19" spans="1:14">
      <c r="A19" t="s">
        <v>59</v>
      </c>
      <c r="B19" t="s">
        <v>60</v>
      </c>
      <c r="C19">
        <v>2</v>
      </c>
      <c r="D19">
        <f>IF(ISLOGICAL('Racco D2'!$C$22),'Racco D2'!$C$22,FALSE)</f>
        <v>0</v>
      </c>
      <c r="E19">
        <f>OR(D19,Calcul!$E$15)</f>
        <v>0</v>
      </c>
      <c r="F19">
        <f>E19</f>
        <v>0</v>
      </c>
      <c r="G19" t="b">
        <v>0</v>
      </c>
      <c r="H19" t="s">
        <v>51</v>
      </c>
      <c r="J19">
        <v>3</v>
      </c>
      <c r="K19">
        <v>22</v>
      </c>
      <c r="L19">
        <f>Calcul!$I$45</f>
        <v>0</v>
      </c>
      <c r="M19">
        <f>""</f>
        <v>0</v>
      </c>
    </row>
    <row r="20" spans="1:14">
      <c r="A20" t="s">
        <v>61</v>
      </c>
      <c r="B20" t="s">
        <v>62</v>
      </c>
      <c r="C20">
        <v>1</v>
      </c>
      <c r="D20">
        <f>IF(ISLOGICAL('Racco D2'!$C$23),'Racco D2'!$C$23,FALSE)</f>
        <v>0</v>
      </c>
      <c r="E20">
        <f>D20</f>
        <v>0</v>
      </c>
      <c r="F20">
        <f>OR(E20,AND(Calcul!$F$21,Calcul!$F$22,Calcul!$F$23))</f>
        <v>0</v>
      </c>
      <c r="G20" t="b">
        <v>0</v>
      </c>
      <c r="I20" t="s">
        <v>23</v>
      </c>
      <c r="J20">
        <v>3</v>
      </c>
      <c r="K20">
        <v>23</v>
      </c>
      <c r="L20">
        <f>Calcul!$I$46</f>
        <v>0</v>
      </c>
      <c r="M20">
        <f>Calcul!$L$46</f>
        <v>0</v>
      </c>
    </row>
    <row r="21" spans="1:14">
      <c r="A21" t="s">
        <v>63</v>
      </c>
      <c r="B21" t="s">
        <v>64</v>
      </c>
      <c r="C21">
        <v>2</v>
      </c>
      <c r="D21">
        <f>IF(ISLOGICAL('Racco D2'!$C$24),'Racco D2'!$C$24,FALSE)</f>
        <v>0</v>
      </c>
      <c r="E21">
        <f>OR(D21,Calcul!$E$20)</f>
        <v>0</v>
      </c>
      <c r="F21">
        <f>E21</f>
        <v>0</v>
      </c>
      <c r="G21" t="b">
        <v>0</v>
      </c>
      <c r="H21" t="s">
        <v>61</v>
      </c>
      <c r="J21">
        <v>0</v>
      </c>
      <c r="K21">
        <v>24</v>
      </c>
      <c r="L21">
        <f>Calcul!$I$46</f>
        <v>0</v>
      </c>
      <c r="M21">
        <f>""</f>
        <v>0</v>
      </c>
    </row>
    <row r="22" spans="1:14">
      <c r="A22" t="s">
        <v>65</v>
      </c>
      <c r="B22" t="s">
        <v>66</v>
      </c>
      <c r="C22">
        <v>2</v>
      </c>
      <c r="D22">
        <f>IF(ISLOGICAL('Racco D2'!$C$25),'Racco D2'!$C$25,FALSE)</f>
        <v>0</v>
      </c>
      <c r="E22">
        <f>OR(D22,Calcul!$E$20)</f>
        <v>0</v>
      </c>
      <c r="F22">
        <f>E22</f>
        <v>0</v>
      </c>
      <c r="G22" t="b">
        <v>0</v>
      </c>
      <c r="H22" t="s">
        <v>61</v>
      </c>
      <c r="J22">
        <v>1</v>
      </c>
      <c r="K22">
        <v>25</v>
      </c>
      <c r="L22">
        <f>Calcul!$I$46</f>
        <v>0</v>
      </c>
      <c r="M22">
        <f>""</f>
        <v>0</v>
      </c>
    </row>
    <row r="23" spans="1:14">
      <c r="A23" t="s">
        <v>67</v>
      </c>
      <c r="B23" t="s">
        <v>68</v>
      </c>
      <c r="C23">
        <v>2</v>
      </c>
      <c r="D23">
        <f>IF(ISLOGICAL('Racco D2'!$C$26),'Racco D2'!$C$26,FALSE)</f>
        <v>0</v>
      </c>
      <c r="E23">
        <f>OR(D23,Calcul!$E$20)</f>
        <v>0</v>
      </c>
      <c r="F23">
        <f>E23</f>
        <v>0</v>
      </c>
      <c r="G23" t="b">
        <v>0</v>
      </c>
      <c r="H23" t="s">
        <v>61</v>
      </c>
      <c r="J23">
        <v>2</v>
      </c>
      <c r="K23">
        <v>26</v>
      </c>
      <c r="L23">
        <f>Calcul!$I$46</f>
        <v>0</v>
      </c>
      <c r="M23">
        <f>""</f>
        <v>0</v>
      </c>
    </row>
    <row r="24" spans="1:14">
      <c r="A24" t="s">
        <v>69</v>
      </c>
      <c r="B24" t="s">
        <v>70</v>
      </c>
      <c r="C24">
        <v>1</v>
      </c>
      <c r="D24">
        <f>IF(ISLOGICAL('Racco D2'!$C$27),'Racco D2'!$C$27,FALSE)</f>
        <v>0</v>
      </c>
      <c r="E24">
        <f>D24</f>
        <v>0</v>
      </c>
      <c r="F24">
        <f>OR(E24,AND(Calcul!$F$25,Calcul!$F$26,Calcul!$F$27,Calcul!$F$28))</f>
        <v>0</v>
      </c>
      <c r="G24" t="b">
        <v>0</v>
      </c>
      <c r="I24" t="s">
        <v>23</v>
      </c>
      <c r="J24">
        <v>4</v>
      </c>
      <c r="K24">
        <v>27</v>
      </c>
      <c r="L24">
        <f>Calcul!$I$47</f>
        <v>0</v>
      </c>
      <c r="M24">
        <f>Calcul!$L$47</f>
        <v>0</v>
      </c>
    </row>
    <row r="25" spans="1:14">
      <c r="A25" t="s">
        <v>71</v>
      </c>
      <c r="B25" t="s">
        <v>72</v>
      </c>
      <c r="C25">
        <v>2</v>
      </c>
      <c r="D25">
        <f>IF(ISLOGICAL('Racco D2'!$C$28),'Racco D2'!$C$28,FALSE)</f>
        <v>0</v>
      </c>
      <c r="E25">
        <f>OR(D25,Calcul!$E$24)</f>
        <v>0</v>
      </c>
      <c r="F25">
        <f>E25</f>
        <v>0</v>
      </c>
      <c r="G25" t="b">
        <v>0</v>
      </c>
      <c r="H25" t="s">
        <v>69</v>
      </c>
      <c r="J25">
        <v>0</v>
      </c>
      <c r="K25">
        <v>28</v>
      </c>
      <c r="L25">
        <f>Calcul!$I$47</f>
        <v>0</v>
      </c>
      <c r="M25">
        <f>""</f>
        <v>0</v>
      </c>
    </row>
    <row r="26" spans="1:14">
      <c r="A26" t="s">
        <v>73</v>
      </c>
      <c r="B26" t="s">
        <v>74</v>
      </c>
      <c r="C26">
        <v>2</v>
      </c>
      <c r="D26">
        <f>IF(ISLOGICAL('Racco D2'!$C$29),'Racco D2'!$C$29,FALSE)</f>
        <v>0</v>
      </c>
      <c r="E26">
        <f>OR(D26,Calcul!$E$24)</f>
        <v>0</v>
      </c>
      <c r="F26">
        <f>E26</f>
        <v>0</v>
      </c>
      <c r="G26" t="b">
        <v>0</v>
      </c>
      <c r="H26" t="s">
        <v>69</v>
      </c>
      <c r="J26">
        <v>1</v>
      </c>
      <c r="K26">
        <v>29</v>
      </c>
      <c r="L26">
        <f>Calcul!$I$47</f>
        <v>0</v>
      </c>
      <c r="M26">
        <f>""</f>
        <v>0</v>
      </c>
    </row>
    <row r="27" spans="1:14">
      <c r="A27" t="s">
        <v>75</v>
      </c>
      <c r="B27" t="s">
        <v>76</v>
      </c>
      <c r="C27">
        <v>2</v>
      </c>
      <c r="D27">
        <f>IF(ISLOGICAL('Racco D2'!$C$30),'Racco D2'!$C$30,FALSE)</f>
        <v>0</v>
      </c>
      <c r="E27">
        <f>OR(D27,Calcul!$E$24)</f>
        <v>0</v>
      </c>
      <c r="F27">
        <f>E27</f>
        <v>0</v>
      </c>
      <c r="G27" t="b">
        <v>0</v>
      </c>
      <c r="H27" t="s">
        <v>69</v>
      </c>
      <c r="J27">
        <v>2</v>
      </c>
      <c r="K27">
        <v>30</v>
      </c>
      <c r="L27">
        <f>Calcul!$I$47</f>
        <v>0</v>
      </c>
      <c r="M27">
        <f>""</f>
        <v>0</v>
      </c>
    </row>
    <row r="28" spans="1:14">
      <c r="A28" t="s">
        <v>77</v>
      </c>
      <c r="B28" t="s">
        <v>78</v>
      </c>
      <c r="C28">
        <v>2</v>
      </c>
      <c r="D28">
        <f>IF(ISLOGICAL('Racco D2'!$C$31),'Racco D2'!$C$31,FALSE)</f>
        <v>0</v>
      </c>
      <c r="E28">
        <f>OR(D28,Calcul!$E$24)</f>
        <v>0</v>
      </c>
      <c r="F28">
        <f>E28</f>
        <v>0</v>
      </c>
      <c r="G28" t="b">
        <v>0</v>
      </c>
      <c r="H28" t="s">
        <v>69</v>
      </c>
      <c r="J28">
        <v>3</v>
      </c>
      <c r="K28">
        <v>31</v>
      </c>
      <c r="L28">
        <f>Calcul!$I$47</f>
        <v>0</v>
      </c>
      <c r="M28">
        <f>""</f>
        <v>0</v>
      </c>
    </row>
    <row r="29" spans="1:14">
      <c r="A29" t="s">
        <v>79</v>
      </c>
      <c r="B29" t="s">
        <v>80</v>
      </c>
      <c r="C29">
        <v>1</v>
      </c>
      <c r="D29">
        <f>IF(ISLOGICAL('Racco D2'!$C$32),'Racco D2'!$C$32,FALSE)</f>
        <v>0</v>
      </c>
      <c r="E29">
        <f>D29</f>
        <v>0</v>
      </c>
      <c r="F29">
        <f>OR(E29,OR(Calcul!$F$30,Calcul!$F$33))</f>
        <v>0</v>
      </c>
      <c r="G29" t="b">
        <v>0</v>
      </c>
      <c r="I29" t="s">
        <v>34</v>
      </c>
      <c r="J29">
        <v>5</v>
      </c>
      <c r="K29">
        <v>32</v>
      </c>
      <c r="L29">
        <f>Calcul!$I$48</f>
        <v>0</v>
      </c>
      <c r="M29">
        <f>Calcul!$L$48</f>
        <v>0</v>
      </c>
    </row>
    <row r="30" spans="1:14">
      <c r="A30" t="s">
        <v>81</v>
      </c>
      <c r="B30" t="s">
        <v>82</v>
      </c>
      <c r="C30">
        <v>2</v>
      </c>
      <c r="D30">
        <f>IF(ISLOGICAL('Racco D2'!$C$33),'Racco D2'!$C$33,FALSE)</f>
        <v>0</v>
      </c>
      <c r="E30">
        <f>D30</f>
        <v>0</v>
      </c>
      <c r="F30">
        <f>OR(E30,AND(Calcul!$F$31,Calcul!$F$32))</f>
        <v>0</v>
      </c>
      <c r="G30" t="b">
        <v>0</v>
      </c>
      <c r="H30" t="s">
        <v>79</v>
      </c>
      <c r="I30" t="s">
        <v>23</v>
      </c>
      <c r="J30">
        <v>0</v>
      </c>
      <c r="K30">
        <v>33</v>
      </c>
      <c r="L30">
        <f>Calcul!$I$48</f>
        <v>0</v>
      </c>
      <c r="M30">
        <f>""</f>
        <v>0</v>
      </c>
      <c r="N30" t="s">
        <v>83</v>
      </c>
    </row>
    <row r="31" spans="1:14">
      <c r="A31" t="s">
        <v>84</v>
      </c>
      <c r="B31" t="s">
        <v>85</v>
      </c>
      <c r="C31">
        <v>3</v>
      </c>
      <c r="D31">
        <f>IF(ISLOGICAL('Racco D2'!$C$34),'Racco D2'!$C$34,FALSE)</f>
        <v>0</v>
      </c>
      <c r="E31">
        <f>OR(D31,Calcul!$E$30)</f>
        <v>0</v>
      </c>
      <c r="F31">
        <f>E31</f>
        <v>0</v>
      </c>
      <c r="G31" t="b">
        <v>0</v>
      </c>
      <c r="H31" t="s">
        <v>81</v>
      </c>
      <c r="J31">
        <v>0</v>
      </c>
      <c r="K31">
        <v>34</v>
      </c>
      <c r="L31">
        <f>Calcul!$I$48</f>
        <v>0</v>
      </c>
      <c r="M31">
        <f>""</f>
        <v>0</v>
      </c>
    </row>
    <row r="32" spans="1:14">
      <c r="A32" t="s">
        <v>86</v>
      </c>
      <c r="B32" t="s">
        <v>87</v>
      </c>
      <c r="C32">
        <v>3</v>
      </c>
      <c r="D32">
        <f>IF(ISLOGICAL('Racco D2'!$C$35),'Racco D2'!$C$35,FALSE)</f>
        <v>0</v>
      </c>
      <c r="E32">
        <f>OR(D32,Calcul!$E$30)</f>
        <v>0</v>
      </c>
      <c r="F32">
        <f>E32</f>
        <v>0</v>
      </c>
      <c r="G32" t="b">
        <v>0</v>
      </c>
      <c r="H32" t="s">
        <v>81</v>
      </c>
      <c r="J32">
        <v>1</v>
      </c>
      <c r="K32">
        <v>35</v>
      </c>
      <c r="L32">
        <f>Calcul!$I$48</f>
        <v>0</v>
      </c>
      <c r="M32">
        <f>""</f>
        <v>0</v>
      </c>
    </row>
    <row r="33" spans="1:18">
      <c r="A33" t="s">
        <v>88</v>
      </c>
      <c r="B33" t="s">
        <v>89</v>
      </c>
      <c r="C33">
        <v>2</v>
      </c>
      <c r="D33">
        <f>IF(ISLOGICAL('Racco D2'!$C$37),'Racco D2'!$C$37,FALSE)</f>
        <v>0</v>
      </c>
      <c r="E33">
        <f>D33</f>
        <v>0</v>
      </c>
      <c r="F33">
        <f>OR(E33,AND(Calcul!$F$34,Calcul!$F$35))</f>
        <v>0</v>
      </c>
      <c r="G33" t="b">
        <v>0</v>
      </c>
      <c r="H33" t="s">
        <v>79</v>
      </c>
      <c r="I33" t="s">
        <v>23</v>
      </c>
      <c r="J33">
        <v>1</v>
      </c>
      <c r="K33">
        <v>37</v>
      </c>
      <c r="L33">
        <f>Calcul!$I$48</f>
        <v>0</v>
      </c>
      <c r="M33">
        <f>""</f>
        <v>0</v>
      </c>
      <c r="N33" t="s">
        <v>90</v>
      </c>
    </row>
    <row r="34" spans="1:18">
      <c r="A34" t="s">
        <v>91</v>
      </c>
      <c r="B34" t="s">
        <v>92</v>
      </c>
      <c r="C34">
        <v>3</v>
      </c>
      <c r="D34">
        <f>IF(ISLOGICAL('Racco D2'!$C$38),'Racco D2'!$C$38,FALSE)</f>
        <v>0</v>
      </c>
      <c r="E34">
        <f>OR(D34,Calcul!$E$33)</f>
        <v>0</v>
      </c>
      <c r="F34">
        <f>E34</f>
        <v>0</v>
      </c>
      <c r="G34" t="b">
        <v>0</v>
      </c>
      <c r="H34" t="s">
        <v>88</v>
      </c>
      <c r="J34">
        <v>0</v>
      </c>
      <c r="K34">
        <v>38</v>
      </c>
      <c r="L34">
        <f>Calcul!$I$48</f>
        <v>0</v>
      </c>
      <c r="M34">
        <f>""</f>
        <v>0</v>
      </c>
    </row>
    <row r="35" spans="1:18">
      <c r="A35" t="s">
        <v>93</v>
      </c>
      <c r="B35" t="s">
        <v>94</v>
      </c>
      <c r="C35">
        <v>3</v>
      </c>
      <c r="D35">
        <f>IF(ISLOGICAL('Racco D2'!$C$39),'Racco D2'!$C$39,FALSE)</f>
        <v>0</v>
      </c>
      <c r="E35">
        <f>OR(D35,Calcul!$E$33)</f>
        <v>0</v>
      </c>
      <c r="F35">
        <f>E35</f>
        <v>0</v>
      </c>
      <c r="G35" t="b">
        <v>0</v>
      </c>
      <c r="H35" t="s">
        <v>88</v>
      </c>
      <c r="J35">
        <v>1</v>
      </c>
      <c r="K35">
        <v>39</v>
      </c>
      <c r="L35">
        <f>Calcul!$I$48</f>
        <v>0</v>
      </c>
      <c r="M35">
        <f>""</f>
        <v>0</v>
      </c>
    </row>
    <row r="36" spans="1:18">
      <c r="A36" t="s">
        <v>95</v>
      </c>
      <c r="B36" t="s">
        <v>96</v>
      </c>
      <c r="C36">
        <v>1</v>
      </c>
      <c r="D36">
        <f>IF(ISLOGICAL('Racco D2'!$C$40),'Racco D2'!$C$40,FALSE)</f>
        <v>0</v>
      </c>
      <c r="E36">
        <f>D36</f>
        <v>0</v>
      </c>
      <c r="F36">
        <f>OR(E36,AND(Calcul!$F$37,Calcul!$F$38,Calcul!$F$39))</f>
        <v>0</v>
      </c>
      <c r="G36" t="b">
        <v>0</v>
      </c>
      <c r="I36" t="s">
        <v>23</v>
      </c>
      <c r="J36">
        <v>6</v>
      </c>
      <c r="K36">
        <v>40</v>
      </c>
      <c r="L36">
        <f>Calcul!$I$49</f>
        <v>0</v>
      </c>
      <c r="M36">
        <f>Calcul!$L$49</f>
        <v>0</v>
      </c>
    </row>
    <row r="37" spans="1:18">
      <c r="A37" t="s">
        <v>97</v>
      </c>
      <c r="B37" t="s">
        <v>98</v>
      </c>
      <c r="C37">
        <v>2</v>
      </c>
      <c r="D37">
        <f>IF(ISLOGICAL('Racco D2'!$C$41),'Racco D2'!$C$41,FALSE)</f>
        <v>0</v>
      </c>
      <c r="E37">
        <f>OR(D37,Calcul!$E$36)</f>
        <v>0</v>
      </c>
      <c r="F37">
        <f>E37</f>
        <v>0</v>
      </c>
      <c r="G37" t="b">
        <v>0</v>
      </c>
      <c r="H37" t="s">
        <v>95</v>
      </c>
      <c r="J37">
        <v>0</v>
      </c>
      <c r="K37">
        <v>41</v>
      </c>
      <c r="L37">
        <f>Calcul!$I$49</f>
        <v>0</v>
      </c>
      <c r="M37">
        <f>""</f>
        <v>0</v>
      </c>
    </row>
    <row r="38" spans="1:18">
      <c r="A38" t="s">
        <v>99</v>
      </c>
      <c r="B38" t="s">
        <v>100</v>
      </c>
      <c r="C38">
        <v>2</v>
      </c>
      <c r="D38">
        <f>IF(ISLOGICAL('Racco D2'!$C$42),'Racco D2'!$C$42,FALSE)</f>
        <v>0</v>
      </c>
      <c r="E38">
        <f>OR(D38,Calcul!$E$36)</f>
        <v>0</v>
      </c>
      <c r="F38">
        <f>E38</f>
        <v>0</v>
      </c>
      <c r="G38" t="b">
        <v>0</v>
      </c>
      <c r="H38" t="s">
        <v>95</v>
      </c>
      <c r="J38">
        <v>1</v>
      </c>
      <c r="K38">
        <v>42</v>
      </c>
      <c r="L38">
        <f>Calcul!$I$49</f>
        <v>0</v>
      </c>
      <c r="M38">
        <f>""</f>
        <v>0</v>
      </c>
    </row>
    <row r="39" spans="1:18">
      <c r="A39" t="s">
        <v>101</v>
      </c>
      <c r="B39" t="s">
        <v>102</v>
      </c>
      <c r="C39">
        <v>2</v>
      </c>
      <c r="D39">
        <f>IF(ISLOGICAL('Racco D2'!$C$43),'Racco D2'!$C$43,FALSE)</f>
        <v>0</v>
      </c>
      <c r="E39">
        <f>OR(D39,Calcul!$E$36)</f>
        <v>0</v>
      </c>
      <c r="F39">
        <f>E39</f>
        <v>0</v>
      </c>
      <c r="G39" t="b">
        <v>0</v>
      </c>
      <c r="H39" t="s">
        <v>95</v>
      </c>
      <c r="J39">
        <v>2</v>
      </c>
      <c r="K39">
        <v>43</v>
      </c>
      <c r="L39">
        <f>Calcul!$I$49</f>
        <v>0</v>
      </c>
      <c r="M39">
        <f>""</f>
        <v>0</v>
      </c>
    </row>
    <row r="42" spans="1:18">
      <c r="A42" s="50" t="s">
        <v>103</v>
      </c>
      <c r="B42" s="50" t="s">
        <v>7</v>
      </c>
      <c r="C42" s="50" t="s">
        <v>8</v>
      </c>
      <c r="D42" s="50" t="s">
        <v>12</v>
      </c>
      <c r="E42" s="50" t="s">
        <v>104</v>
      </c>
      <c r="F42" s="50" t="s">
        <v>105</v>
      </c>
      <c r="G42" s="50" t="s">
        <v>106</v>
      </c>
      <c r="H42" s="50" t="s">
        <v>107</v>
      </c>
      <c r="I42" s="50" t="s">
        <v>18</v>
      </c>
      <c r="J42" s="50" t="s">
        <v>108</v>
      </c>
      <c r="K42" s="50" t="s">
        <v>109</v>
      </c>
      <c r="L42" s="50" t="s">
        <v>19</v>
      </c>
      <c r="M42" s="50" t="s">
        <v>110</v>
      </c>
      <c r="N42" s="50" t="s">
        <v>111</v>
      </c>
      <c r="O42" s="50" t="s">
        <v>112</v>
      </c>
      <c r="P42" s="50" t="s">
        <v>113</v>
      </c>
      <c r="Q42" s="50" t="s">
        <v>114</v>
      </c>
      <c r="R42" s="50" t="s">
        <v>115</v>
      </c>
    </row>
    <row r="43" spans="1:18">
      <c r="A43">
        <v>1</v>
      </c>
      <c r="B43" t="s">
        <v>21</v>
      </c>
      <c r="C43" t="s">
        <v>22</v>
      </c>
      <c r="D43">
        <f>Calcul!$F$2</f>
        <v>0</v>
      </c>
      <c r="I43">
        <f>FALSE</f>
        <v>0</v>
      </c>
      <c r="J43">
        <f>FALSE</f>
        <v>0</v>
      </c>
      <c r="K43">
        <f>AND(NOT(I43),D43,NOT(J43))</f>
        <v>0</v>
      </c>
      <c r="L43">
        <f>IF(I43,"none",IF(D43,"ok",IF(TRUE,"run","none")))</f>
        <v>0</v>
      </c>
      <c r="M43">
        <f>IF(I43,"Verrouillée",IF(D43,"Validée",IF(TRUE,"Incomplète","À faire")))</f>
        <v>0</v>
      </c>
      <c r="N43">
        <f>IF(I43,"Pas encore accessible",IF(D43,"Dossier complet",IF(TRUE,"Réception dossier : "&amp;(N(Calcul!$F$3)+N(Calcul!$F$4)+N(Calcul!$F$5)+N(Calcul!$F$6))&amp;"/4","Pas commencée")))</f>
        <v>0</v>
      </c>
      <c r="O43">
        <f>IF(I43,"—",IF(D43,"Recevable",IF(TRUE,"En attente des pièces","—")))</f>
        <v>0</v>
      </c>
      <c r="P43">
        <f>IF(I43,"Valider d'abord l'étape 0 · ",IF(D43,"Passer au contrôle de conformité",IF(TRUE,_xlfn.TEXTJOIN(CHAR(10),TRUE,IF(Calcul!$F$3,"","• "&amp;Calcul!$B$3),IF(Calcul!$F$4,"","• "&amp;Calcul!$B$4),IF(Calcul!$F$5,"","• "&amp;Calcul!$B$5),IF(Calcul!$F$6,"","• "&amp;Calcul!$B$6)),_xlfn.TEXTJOIN(CHAR(10),TRUE,IF(Calcul!$F$3,"","• "&amp;Calcul!$B$3),IF(Calcul!$F$4,"","• "&amp;Calcul!$B$4),IF(Calcul!$F$5,"","• "&amp;Calcul!$B$5),IF(Calcul!$F$6,"","• "&amp;Calcul!$B$6)))))</f>
        <v>0</v>
      </c>
      <c r="Q43">
        <f>IF(I43,"—",IF(D43,"Moi",IF(TRUE,IF('Racco D2'!$V$7="","Cabinet conseil",'Racco D2'!$V$7),IF('Racco D2'!$V$7="","Cabinet conseil",'Racco D2'!$V$7))))</f>
        <v>0</v>
      </c>
      <c r="R43">
        <f>IF(L43="ko","N",IF(K43,"V",IF(AND(1=Calcul!$B$51,L43="run"),"E","A")))</f>
        <v>0</v>
      </c>
    </row>
    <row r="44" spans="1:18">
      <c r="A44">
        <v>2</v>
      </c>
      <c r="B44" t="s">
        <v>32</v>
      </c>
      <c r="C44" t="s">
        <v>33</v>
      </c>
      <c r="D44">
        <f>Calcul!$F$7</f>
        <v>0</v>
      </c>
      <c r="E44">
        <f>Calcul!$F$8</f>
        <v>0</v>
      </c>
      <c r="F44">
        <f>Calcul!$F$12</f>
        <v>0</v>
      </c>
      <c r="G44">
        <f>OR(Calcul!$F$9,Calcul!$F$10,Calcul!$F$11)</f>
        <v>0</v>
      </c>
      <c r="H44">
        <f>OR(Calcul!$F$13,Calcul!$F$14)</f>
        <v>0</v>
      </c>
      <c r="I44">
        <f>NOT(Calcul!$K$43)</f>
        <v>0</v>
      </c>
      <c r="J44">
        <f>AND(NOT(I44),NOT(E44),F44)</f>
        <v>0</v>
      </c>
      <c r="K44">
        <f>AND(NOT(I44),D44,NOT(J44))</f>
        <v>0</v>
      </c>
      <c r="L44">
        <f>IF(I44,"none",IF(E44,"ok",IF(F44,"ko",IF(AND(Calcul!$E$7,NOT(G44),NOT(H44)),"ok",IF(G44,"run",IF(H44,"run","none"))))))</f>
        <v>0</v>
      </c>
      <c r="M44">
        <f>IF(I44,"Verrouillée",IF(E44,"Conforme",IF(F44,"Non conforme",IF(AND(Calcul!$E$7,NOT(G44),NOT(H44)),"Validée",IF(G44,"En cours",IF(H44,"En cours","À contrôler"))))))</f>
        <v>0</v>
      </c>
      <c r="N44">
        <f>IF(I44,"Pas encore accessible",IF(E44,"Conforme",IF(F44,"Non conforme",IF(AND(Calcul!$E$7,NOT(G44),NOT(H44)),"Validée sans précision",IF(G44,"Vers « "&amp;"Conforme"&amp;" »",IF(H44,"Vers « "&amp;"Non conforme"&amp;" »","Pas encore contrôlé"))))))</f>
        <v>0</v>
      </c>
      <c r="O44">
        <f>IF(I44,"—",IF(E44,"Accepté",IF(F44,"Suspendu",IF(AND(Calcul!$E$7,NOT(G44),NOT(H44)),"À préciser",IF(G44,"En cours",IF(H44,"En cours","—"))))))</f>
        <v>0</v>
      </c>
      <c r="P44">
        <f>IF(I44,"Valider d'abord l'étape 1 · Réception dossier",IF(E44,"Lancer l'étude technique",IF(F44,"Attendre les compléments du cabinet",IF(AND(Calcul!$E$7,NOT(G44),NOT(H44)),"Indiquer "&amp;"« "&amp;"Conforme"&amp;" » ou « "&amp;"Non conforme"&amp;" »",IF(G44,_xlfn.TEXTJOIN(CHAR(10),TRUE,IF(Calcul!$F$9,"","• "&amp;Calcul!$B$9),IF(Calcul!$F$10,"","• "&amp;Calcul!$B$10),IF(Calcul!$F$11,"","• "&amp;Calcul!$B$11)),IF(H44,_xlfn.TEXTJOIN(CHAR(10),TRUE,IF(Calcul!$F$13,"","• "&amp;Calcul!$B$13),IF(Calcul!$F$14,"","• "&amp;Calcul!$B$14)),"Choisir "&amp;"« "&amp;"Conforme"&amp;" » ou « "&amp;"Non conforme"&amp;" »"))))))</f>
        <v>0</v>
      </c>
      <c r="Q44">
        <f>IF(I44,"—",IF(E44,"Moi",IF(F44,IF('Racco D2'!$V$7="","Cabinet conseil",'Racco D2'!$V$7),IF(AND(Calcul!$E$7,NOT(G44),NOT(H44)),"Moi",IF(G44,"Moi",IF(H44,"Moi","Moi"))))))</f>
        <v>0</v>
      </c>
      <c r="R44">
        <f>IF(L44="ko","N",IF(K44,"V",IF(AND(2=Calcul!$B$51,L44="run"),"E","A")))</f>
        <v>0</v>
      </c>
    </row>
    <row r="45" spans="1:18">
      <c r="A45">
        <v>3</v>
      </c>
      <c r="B45" t="s">
        <v>51</v>
      </c>
      <c r="C45" t="s">
        <v>52</v>
      </c>
      <c r="D45">
        <f>Calcul!$F$15</f>
        <v>0</v>
      </c>
      <c r="I45">
        <f>NOT(Calcul!$K$44)</f>
        <v>0</v>
      </c>
      <c r="J45">
        <f>FALSE</f>
        <v>0</v>
      </c>
      <c r="K45">
        <f>AND(NOT(I45),D45,NOT(J45))</f>
        <v>0</v>
      </c>
      <c r="L45">
        <f>IF(I45,"none",IF(D45,"ok",IF((N(Calcul!$F$16)+N(Calcul!$F$17)+N(Calcul!$F$18)+N(Calcul!$F$19))&gt;0,"run","none")))</f>
        <v>0</v>
      </c>
      <c r="M45">
        <f>IF(I45,"Verrouillée",IF(D45,"Validée",IF((N(Calcul!$F$16)+N(Calcul!$F$17)+N(Calcul!$F$18)+N(Calcul!$F$19))&gt;0,"En cours","À faire")))</f>
        <v>0</v>
      </c>
      <c r="N45">
        <f>IF(I45,"Pas encore accessible",IF(D45,"Étude terminée",IF((N(Calcul!$F$16)+N(Calcul!$F$17)+N(Calcul!$F$18)+N(Calcul!$F$19))&gt;0,"Étude technique : "&amp;(N(Calcul!$F$16)+N(Calcul!$F$17)+N(Calcul!$F$18)+N(Calcul!$F$19))&amp;"/4","Pas commencée")))</f>
        <v>0</v>
      </c>
      <c r="O45">
        <f>IF(I45,"—",IF(D45,"Faisable",IF((N(Calcul!$F$16)+N(Calcul!$F$17)+N(Calcul!$F$18)+N(Calcul!$F$19))&gt;0,"Étude en cours","—")))</f>
        <v>0</v>
      </c>
      <c r="P45">
        <f>IF(I45,"Valider d'abord l'étape 2 · Conformité",IF(D45,"Planifier l'intervention",IF((N(Calcul!$F$16)+N(Calcul!$F$17)+N(Calcul!$F$18)+N(Calcul!$F$19))&gt;0,_xlfn.TEXTJOIN(CHAR(10),TRUE,IF(Calcul!$F$16,"","• "&amp;Calcul!$B$16),IF(Calcul!$F$17,"","• "&amp;Calcul!$B$17),IF(Calcul!$F$18,"","• "&amp;Calcul!$B$18),IF(Calcul!$F$19,"","• "&amp;Calcul!$B$19)),_xlfn.TEXTJOIN(CHAR(10),TRUE,IF(Calcul!$F$16,"","• "&amp;Calcul!$B$16),IF(Calcul!$F$17,"","• "&amp;Calcul!$B$17),IF(Calcul!$F$18,"","• "&amp;Calcul!$B$18),IF(Calcul!$F$19,"","• "&amp;Calcul!$B$19)))))</f>
        <v>0</v>
      </c>
      <c r="Q45">
        <f>IF(I45,"—",IF(D45,"Moi",IF((N(Calcul!$F$16)+N(Calcul!$F$17)+N(Calcul!$F$18)+N(Calcul!$F$19))&gt;0,"Bureau d'études","Bureau d'études")))</f>
        <v>0</v>
      </c>
      <c r="R45">
        <f>IF(L45="ko","N",IF(K45,"V",IF(AND(3=Calcul!$B$51,L45="run"),"E","A")))</f>
        <v>0</v>
      </c>
    </row>
    <row r="46" spans="1:18">
      <c r="A46">
        <v>4</v>
      </c>
      <c r="B46" t="s">
        <v>61</v>
      </c>
      <c r="C46" t="s">
        <v>62</v>
      </c>
      <c r="D46">
        <f>Calcul!$F$20</f>
        <v>0</v>
      </c>
      <c r="I46">
        <f>NOT(Calcul!$K$45)</f>
        <v>0</v>
      </c>
      <c r="J46">
        <f>FALSE</f>
        <v>0</v>
      </c>
      <c r="K46">
        <f>AND(NOT(I46),D46,NOT(J46))</f>
        <v>0</v>
      </c>
      <c r="L46">
        <f>IF(I46,"none",IF(D46,"ok",IF((N(Calcul!$F$21)+N(Calcul!$F$22)+N(Calcul!$F$23))&gt;0,"run","none")))</f>
        <v>0</v>
      </c>
      <c r="M46">
        <f>IF(I46,"Verrouillée",IF(D46,"Validée",IF((N(Calcul!$F$21)+N(Calcul!$F$22)+N(Calcul!$F$23))&gt;0,"En cours","À faire")))</f>
        <v>0</v>
      </c>
      <c r="N46">
        <f>IF(I46,"Pas encore accessible",IF(D46,"Intervention planifiée",IF((N(Calcul!$F$21)+N(Calcul!$F$22)+N(Calcul!$F$23))&gt;0,"Planification : "&amp;(N(Calcul!$F$21)+N(Calcul!$F$22)+N(Calcul!$F$23))&amp;"/3","Pas commencée")))</f>
        <v>0</v>
      </c>
      <c r="O46">
        <f>IF(I46,"—",IF(D46,"Date confirmée",IF((N(Calcul!$F$21)+N(Calcul!$F$22)+N(Calcul!$F$23))&gt;0,"Rendez-vous à caler","—")))</f>
        <v>0</v>
      </c>
      <c r="P46">
        <f>IF(I46,"Valider d'abord l'étape 3 · Étude technique",IF(D46,"Lancer les travaux",IF((N(Calcul!$F$21)+N(Calcul!$F$22)+N(Calcul!$F$23))&gt;0,_xlfn.TEXTJOIN(CHAR(10),TRUE,IF(Calcul!$F$21,"","• "&amp;Calcul!$B$21),IF(Calcul!$F$22,"","• "&amp;Calcul!$B$22),IF(Calcul!$F$23,"","• "&amp;Calcul!$B$23)),_xlfn.TEXTJOIN(CHAR(10),TRUE,IF(Calcul!$F$21,"","• "&amp;Calcul!$B$21),IF(Calcul!$F$22,"","• "&amp;Calcul!$B$22),IF(Calcul!$F$23,"","• "&amp;Calcul!$B$23)))))</f>
        <v>0</v>
      </c>
      <c r="Q46">
        <f>IF(I46,"—",IF(D46,"Moi",IF((N(Calcul!$F$21)+N(Calcul!$F$22)+N(Calcul!$F$23))&gt;0,"Moi","Moi")))</f>
        <v>0</v>
      </c>
      <c r="R46">
        <f>IF(L46="ko","N",IF(K46,"V",IF(AND(4=Calcul!$B$51,L46="run"),"E","A")))</f>
        <v>0</v>
      </c>
    </row>
    <row r="47" spans="1:18">
      <c r="A47">
        <v>5</v>
      </c>
      <c r="B47" t="s">
        <v>69</v>
      </c>
      <c r="C47" t="s">
        <v>70</v>
      </c>
      <c r="D47">
        <f>Calcul!$F$24</f>
        <v>0</v>
      </c>
      <c r="I47">
        <f>NOT(Calcul!$K$46)</f>
        <v>0</v>
      </c>
      <c r="J47">
        <f>FALSE</f>
        <v>0</v>
      </c>
      <c r="K47">
        <f>AND(NOT(I47),D47,NOT(J47))</f>
        <v>0</v>
      </c>
      <c r="L47">
        <f>IF(I47,"none",IF(D47,"ok",IF((N(Calcul!$F$25)+N(Calcul!$F$26)+N(Calcul!$F$27)+N(Calcul!$F$28))&gt;0,"run","none")))</f>
        <v>0</v>
      </c>
      <c r="M47">
        <f>IF(I47,"Verrouillée",IF(D47,"Validée",IF((N(Calcul!$F$25)+N(Calcul!$F$26)+N(Calcul!$F$27)+N(Calcul!$F$28))&gt;0,"En cours","À faire")))</f>
        <v>0</v>
      </c>
      <c r="N47">
        <f>IF(I47,"Pas encore accessible",IF(D47,"Travaux terminés",IF((N(Calcul!$F$25)+N(Calcul!$F$26)+N(Calcul!$F$27)+N(Calcul!$F$28))&gt;0,"Travaux : "&amp;(N(Calcul!$F$25)+N(Calcul!$F$26)+N(Calcul!$F$27)+N(Calcul!$F$28))&amp;"/4","Pas commencée")))</f>
        <v>0</v>
      </c>
      <c r="O47">
        <f>IF(I47,"—",IF(D47,"Prêt pour la recette",IF((N(Calcul!$F$25)+N(Calcul!$F$26)+N(Calcul!$F$27)+N(Calcul!$F$28))&gt;0,"Chantier en cours","—")))</f>
        <v>0</v>
      </c>
      <c r="P47">
        <f>IF(I47,"Valider d'abord l'étape 4 · Planification",IF(D47,"Faire la recette",IF((N(Calcul!$F$25)+N(Calcul!$F$26)+N(Calcul!$F$27)+N(Calcul!$F$28))&gt;0,_xlfn.TEXTJOIN(CHAR(10),TRUE,IF(Calcul!$F$25,"","• "&amp;Calcul!$B$25),IF(Calcul!$F$26,"","• "&amp;Calcul!$B$26),IF(Calcul!$F$27,"","• "&amp;Calcul!$B$27),IF(Calcul!$F$28,"","• "&amp;Calcul!$B$28)),_xlfn.TEXTJOIN(CHAR(10),TRUE,IF(Calcul!$F$25,"","• "&amp;Calcul!$B$25),IF(Calcul!$F$26,"","• "&amp;Calcul!$B$26),IF(Calcul!$F$27,"","• "&amp;Calcul!$B$27),IF(Calcul!$F$28,"","• "&amp;Calcul!$B$28)))))</f>
        <v>0</v>
      </c>
      <c r="Q47">
        <f>IF(I47,"—",IF(D47,"Moi",IF((N(Calcul!$F$25)+N(Calcul!$F$26)+N(Calcul!$F$27)+N(Calcul!$F$28))&gt;0,"Sous-traitant","Sous-traitant")))</f>
        <v>0</v>
      </c>
      <c r="R47">
        <f>IF(L47="ko","N",IF(K47,"V",IF(AND(5=Calcul!$B$51,L47="run"),"E","A")))</f>
        <v>0</v>
      </c>
    </row>
    <row r="48" spans="1:18">
      <c r="A48">
        <v>6</v>
      </c>
      <c r="B48" t="s">
        <v>79</v>
      </c>
      <c r="C48" t="s">
        <v>80</v>
      </c>
      <c r="D48">
        <f>Calcul!$F$29</f>
        <v>0</v>
      </c>
      <c r="E48">
        <f>Calcul!$F$30</f>
        <v>0</v>
      </c>
      <c r="F48">
        <f>Calcul!$F$33</f>
        <v>0</v>
      </c>
      <c r="G48">
        <f>OR(Calcul!$F$31,Calcul!$F$32)</f>
        <v>0</v>
      </c>
      <c r="H48">
        <f>OR(Calcul!$F$34,Calcul!$F$35)</f>
        <v>0</v>
      </c>
      <c r="I48">
        <f>NOT(Calcul!$K$47)</f>
        <v>0</v>
      </c>
      <c r="J48">
        <f>AND(NOT(I48),NOT(E48),F48)</f>
        <v>0</v>
      </c>
      <c r="K48">
        <f>AND(NOT(I48),D48,NOT(J48))</f>
        <v>0</v>
      </c>
      <c r="L48">
        <f>IF(I48,"none",IF(E48,"ok",IF(F48,"ko",IF(AND(Calcul!$E$29,NOT(G48),NOT(H48)),"ok",IF(G48,"run",IF(H48,"run","none"))))))</f>
        <v>0</v>
      </c>
      <c r="M48">
        <f>IF(I48,"Verrouillée",IF(E48,"Recette conforme",IF(F48,"Réserves",IF(AND(Calcul!$E$29,NOT(G48),NOT(H48)),"Validée",IF(G48,"En cours",IF(H48,"En cours","À contrôler"))))))</f>
        <v>0</v>
      </c>
      <c r="N48">
        <f>IF(I48,"Pas encore accessible",IF(E48,"Recette conforme",IF(F48,"Réserves",IF(AND(Calcul!$E$29,NOT(G48),NOT(H48)),"Validée sans précision",IF(G48,"Vers « "&amp;"Recette conforme"&amp;" »",IF(H48,"Vers « "&amp;"Réserves"&amp;" »","Pas encore contrôlé"))))))</f>
        <v>0</v>
      </c>
      <c r="O48">
        <f>IF(I48,"—",IF(E48,"Accepté",IF(F48,"Suspendu",IF(AND(Calcul!$E$29,NOT(G48),NOT(H48)),"À préciser",IF(G48,"En cours",IF(H48,"En cours","—"))))))</f>
        <v>0</v>
      </c>
      <c r="P48">
        <f>IF(I48,"Valider d'abord l'étape 5 · Travaux",IF(E48,"Mettre en service",IF(F48,"Faire lever les réserves",IF(AND(Calcul!$E$29,NOT(G48),NOT(H48)),"Indiquer "&amp;"« "&amp;"Recette conforme"&amp;" » ou « "&amp;"Réserves"&amp;" »",IF(G48,_xlfn.TEXTJOIN(CHAR(10),TRUE,IF(Calcul!$F$31,"","• "&amp;Calcul!$B$31),IF(Calcul!$F$32,"","• "&amp;Calcul!$B$32)),IF(H48,_xlfn.TEXTJOIN(CHAR(10),TRUE,IF(Calcul!$F$34,"","• "&amp;Calcul!$B$34),IF(Calcul!$F$35,"","• "&amp;Calcul!$B$35)),"Choisir "&amp;"« "&amp;"Recette conforme"&amp;" » ou « "&amp;"Réserves"&amp;" »"))))))</f>
        <v>0</v>
      </c>
      <c r="Q48">
        <f>IF(I48,"—",IF(E48,"Moi",IF(F48,"Sous-traitant",IF(AND(Calcul!$E$29,NOT(G48),NOT(H48)),"Moi",IF(G48,"Moi",IF(H48,"Moi","Moi"))))))</f>
        <v>0</v>
      </c>
      <c r="R48">
        <f>IF(L48="ko","N",IF(K48,"V",IF(AND(6=Calcul!$B$51,L48="run"),"E","A")))</f>
        <v>0</v>
      </c>
    </row>
    <row r="49" spans="1:18">
      <c r="A49">
        <v>7</v>
      </c>
      <c r="B49" t="s">
        <v>95</v>
      </c>
      <c r="C49" t="s">
        <v>96</v>
      </c>
      <c r="D49">
        <f>Calcul!$F$36</f>
        <v>0</v>
      </c>
      <c r="I49">
        <f>NOT(Calcul!$K$48)</f>
        <v>0</v>
      </c>
      <c r="J49">
        <f>FALSE</f>
        <v>0</v>
      </c>
      <c r="K49">
        <f>AND(NOT(I49),D49,NOT(J49))</f>
        <v>0</v>
      </c>
      <c r="L49">
        <f>IF(I49,"none",IF(D49,"ok",IF((N(Calcul!$F$37)+N(Calcul!$F$38)+N(Calcul!$F$39))&gt;0,"run","none")))</f>
        <v>0</v>
      </c>
      <c r="M49">
        <f>IF(I49,"Verrouillée",IF(D49,"Validée",IF((N(Calcul!$F$37)+N(Calcul!$F$38)+N(Calcul!$F$39))&gt;0,"En cours","À faire")))</f>
        <v>0</v>
      </c>
      <c r="N49">
        <f>IF(I49,"Pas encore accessible",IF(D49,"Immeuble raccordé",IF((N(Calcul!$F$37)+N(Calcul!$F$38)+N(Calcul!$F$39))&gt;0,"Mise en service : "&amp;(N(Calcul!$F$37)+N(Calcul!$F$38)+N(Calcul!$F$39))&amp;"/3","Pas commencée")))</f>
        <v>0</v>
      </c>
      <c r="O49">
        <f>IF(I49,"—",IF(D49,"Dossier clos",IF((N(Calcul!$F$37)+N(Calcul!$F$38)+N(Calcul!$F$39))&gt;0,"Clôture en cours","—")))</f>
        <v>0</v>
      </c>
      <c r="P49">
        <f>IF(I49,"Valider d'abord l'étape 6 · Recette",IF(D49,"Archiver le dossier",IF((N(Calcul!$F$37)+N(Calcul!$F$38)+N(Calcul!$F$39))&gt;0,_xlfn.TEXTJOIN(CHAR(10),TRUE,IF(Calcul!$F$37,"","• "&amp;Calcul!$B$37),IF(Calcul!$F$38,"","• "&amp;Calcul!$B$38),IF(Calcul!$F$39,"","• "&amp;Calcul!$B$39)),_xlfn.TEXTJOIN(CHAR(10),TRUE,IF(Calcul!$F$37,"","• "&amp;Calcul!$B$37),IF(Calcul!$F$38,"","• "&amp;Calcul!$B$38),IF(Calcul!$F$39,"","• "&amp;Calcul!$B$39)))))</f>
        <v>0</v>
      </c>
      <c r="Q49">
        <f>IF(I49,"—",IF(D49,"Moi",IF((N(Calcul!$F$37)+N(Calcul!$F$38)+N(Calcul!$F$39))&gt;0,"Moi","Moi")))</f>
        <v>0</v>
      </c>
      <c r="R49">
        <f>IF(L49="ko","N",IF(K49,"V",IF(AND(7=Calcul!$B$51,L49="run"),"E","A")))</f>
        <v>0</v>
      </c>
    </row>
    <row r="51" spans="1:18">
      <c r="A51" t="s">
        <v>116</v>
      </c>
      <c r="B51">
        <f>IFERROR(MATCH(FALSE,Calcul!$K$43:$K$49,0),0)</f>
        <v>0</v>
      </c>
    </row>
    <row r="52" spans="1:18">
      <c r="A52" t="s">
        <v>117</v>
      </c>
      <c r="B52">
        <f>IF(ISNUMBER(etapeChoisie),etapeChoisie,IF(Calcul!$B$51=0,7,Calcul!$B$51))</f>
        <v>0</v>
      </c>
    </row>
    <row r="53" spans="1:18">
      <c r="A53" t="s">
        <v>118</v>
      </c>
      <c r="B53" t="s">
        <v>119</v>
      </c>
    </row>
    <row r="54" spans="1:18">
      <c r="A54" t="s">
        <v>120</v>
      </c>
    </row>
    <row r="57" spans="1:18">
      <c r="A57" s="50" t="s">
        <v>121</v>
      </c>
    </row>
    <row r="58" spans="1:18">
      <c r="A58" t="s">
        <v>122</v>
      </c>
      <c r="B58">
        <f>Calcul!$R$43&amp;Calcul!$R$44&amp;Calcul!$R$45&amp;Calcul!$R$46&amp;Calcul!$R$47&amp;Calcul!$R$48&amp;Calcul!$R$49&amp;MID('Paramètres'!$D$2,1+16*N(Calcul!$F$3)+8*N(Calcul!$F$4)+4*N(Calcul!$F$5)+2*N(Calcul!$F$6)+1*N(Calcul!$F$9),1)&amp;MID('Paramètres'!$D$2,1+16*N(Calcul!$F$10)+8*N(Calcul!$F$11)+4*N(Calcul!$F$13)+2*N(Calcul!$F$14)+1*N(Calcul!$F$16),1)&amp;MID('Paramètres'!$D$2,1+16*N(Calcul!$F$17)+8*N(Calcul!$F$18)+4*N(Calcul!$F$19)+2*N(Calcul!$F$21)+1*N(Calcul!$F$22),1)&amp;MID('Paramètres'!$D$2,1+16*N(Calcul!$F$23)+8*N(Calcul!$F$25)+4*N(Calcul!$F$26)+2*N(Calcul!$F$27)+1*N(Calcul!$F$28),1)&amp;MID('Paramètres'!$D$2,1+16*N(Calcul!$F$31)+8*N(Calcul!$F$32)+4*N(Calcul!$F$34)+2*N(Calcul!$F$35)+1*N(Calcul!$F$37),1)&amp;MID('Paramètres'!$D$2,1+16*N(Calcul!$F$38)+8*N(Calcul!$F$39),1)&amp;MID('Paramètres'!$D$2,1+0,1)&amp;MID('Paramètres'!$D$2,1+0,1)&amp;MID('Paramètres'!$D$2,1+0,1)&amp;MID('Paramètres'!$D$2,1+0,1)&amp;MID('Paramètres'!$D$2,1+0,1)&amp;MID('Paramètres'!$D$2,1+0,1)&amp;MID('Paramètres'!$D$2,1+0,1)&amp;MID('Paramètres'!$D$2,1+0,1)</f>
        <v>0</v>
      </c>
    </row>
    <row r="59" spans="1:18">
      <c r="A59" t="s">
        <v>123</v>
      </c>
      <c r="B59" t="s">
        <v>124</v>
      </c>
      <c r="C59" t="s">
        <v>125</v>
      </c>
    </row>
    <row r="60" spans="1:18">
      <c r="A60">
        <v>1</v>
      </c>
      <c r="B60">
        <f>_xlfn.UNICODE(MID(Calcul!$B$58,1,1))</f>
        <v>0</v>
      </c>
      <c r="C60">
        <f>MOD(MOD(_xlfn.BITXOR(2166136261,B60),256)*16777216+_xlfn.BITXOR(2166136261,B60)*403,4294967296)</f>
        <v>0</v>
      </c>
    </row>
    <row r="61" spans="1:18">
      <c r="A61">
        <v>2</v>
      </c>
      <c r="B61">
        <f>_xlfn.UNICODE(MID(Calcul!$B$58,2,1))</f>
        <v>0</v>
      </c>
      <c r="C61">
        <f>MOD(MOD(_xlfn.BITXOR(C60,B61),256)*16777216+_xlfn.BITXOR(C60,B61)*403,4294967296)</f>
        <v>0</v>
      </c>
    </row>
    <row r="62" spans="1:18">
      <c r="A62">
        <v>3</v>
      </c>
      <c r="B62">
        <f>_xlfn.UNICODE(MID(Calcul!$B$58,3,1))</f>
        <v>0</v>
      </c>
      <c r="C62">
        <f>MOD(MOD(_xlfn.BITXOR(C61,B62),256)*16777216+_xlfn.BITXOR(C61,B62)*403,4294967296)</f>
        <v>0</v>
      </c>
    </row>
    <row r="63" spans="1:18">
      <c r="A63">
        <v>4</v>
      </c>
      <c r="B63">
        <f>_xlfn.UNICODE(MID(Calcul!$B$58,4,1))</f>
        <v>0</v>
      </c>
      <c r="C63">
        <f>MOD(MOD(_xlfn.BITXOR(C62,B63),256)*16777216+_xlfn.BITXOR(C62,B63)*403,4294967296)</f>
        <v>0</v>
      </c>
    </row>
    <row r="64" spans="1:18">
      <c r="A64">
        <v>5</v>
      </c>
      <c r="B64">
        <f>_xlfn.UNICODE(MID(Calcul!$B$58,5,1))</f>
        <v>0</v>
      </c>
      <c r="C64">
        <f>MOD(MOD(_xlfn.BITXOR(C63,B64),256)*16777216+_xlfn.BITXOR(C63,B64)*403,4294967296)</f>
        <v>0</v>
      </c>
    </row>
    <row r="65" spans="1:3">
      <c r="A65">
        <v>6</v>
      </c>
      <c r="B65">
        <f>_xlfn.UNICODE(MID(Calcul!$B$58,6,1))</f>
        <v>0</v>
      </c>
      <c r="C65">
        <f>MOD(MOD(_xlfn.BITXOR(C64,B65),256)*16777216+_xlfn.BITXOR(C64,B65)*403,4294967296)</f>
        <v>0</v>
      </c>
    </row>
    <row r="66" spans="1:3">
      <c r="A66">
        <v>7</v>
      </c>
      <c r="B66">
        <f>_xlfn.UNICODE(MID(Calcul!$B$58,7,1))</f>
        <v>0</v>
      </c>
      <c r="C66">
        <f>MOD(MOD(_xlfn.BITXOR(C65,B66),256)*16777216+_xlfn.BITXOR(C65,B66)*403,4294967296)</f>
        <v>0</v>
      </c>
    </row>
    <row r="67" spans="1:3">
      <c r="A67">
        <v>8</v>
      </c>
      <c r="B67">
        <f>_xlfn.UNICODE(MID(Calcul!$B$58,8,1))</f>
        <v>0</v>
      </c>
      <c r="C67">
        <f>MOD(MOD(_xlfn.BITXOR(C66,B67),256)*16777216+_xlfn.BITXOR(C66,B67)*403,4294967296)</f>
        <v>0</v>
      </c>
    </row>
    <row r="68" spans="1:3">
      <c r="A68">
        <v>9</v>
      </c>
      <c r="B68">
        <f>_xlfn.UNICODE(MID(Calcul!$B$58,9,1))</f>
        <v>0</v>
      </c>
      <c r="C68">
        <f>MOD(MOD(_xlfn.BITXOR(C67,B68),256)*16777216+_xlfn.BITXOR(C67,B68)*403,4294967296)</f>
        <v>0</v>
      </c>
    </row>
    <row r="69" spans="1:3">
      <c r="A69">
        <v>10</v>
      </c>
      <c r="B69">
        <f>_xlfn.UNICODE(MID(Calcul!$B$58,10,1))</f>
        <v>0</v>
      </c>
      <c r="C69">
        <f>MOD(MOD(_xlfn.BITXOR(C68,B69),256)*16777216+_xlfn.BITXOR(C68,B69)*403,4294967296)</f>
        <v>0</v>
      </c>
    </row>
    <row r="70" spans="1:3">
      <c r="A70">
        <v>11</v>
      </c>
      <c r="B70">
        <f>_xlfn.UNICODE(MID(Calcul!$B$58,11,1))</f>
        <v>0</v>
      </c>
      <c r="C70">
        <f>MOD(MOD(_xlfn.BITXOR(C69,B70),256)*16777216+_xlfn.BITXOR(C69,B70)*403,4294967296)</f>
        <v>0</v>
      </c>
    </row>
    <row r="71" spans="1:3">
      <c r="A71">
        <v>12</v>
      </c>
      <c r="B71">
        <f>_xlfn.UNICODE(MID(Calcul!$B$58,12,1))</f>
        <v>0</v>
      </c>
      <c r="C71">
        <f>MOD(MOD(_xlfn.BITXOR(C70,B71),256)*16777216+_xlfn.BITXOR(C70,B71)*403,4294967296)</f>
        <v>0</v>
      </c>
    </row>
    <row r="72" spans="1:3">
      <c r="A72">
        <v>13</v>
      </c>
      <c r="B72">
        <f>_xlfn.UNICODE(MID(Calcul!$B$58,13,1))</f>
        <v>0</v>
      </c>
      <c r="C72">
        <f>MOD(MOD(_xlfn.BITXOR(C71,B72),256)*16777216+_xlfn.BITXOR(C71,B72)*403,4294967296)</f>
        <v>0</v>
      </c>
    </row>
    <row r="73" spans="1:3">
      <c r="A73">
        <v>14</v>
      </c>
      <c r="B73">
        <f>_xlfn.UNICODE(MID(Calcul!$B$58,14,1))</f>
        <v>0</v>
      </c>
      <c r="C73">
        <f>MOD(MOD(_xlfn.BITXOR(C72,B73),256)*16777216+_xlfn.BITXOR(C72,B73)*403,4294967296)</f>
        <v>0</v>
      </c>
    </row>
    <row r="74" spans="1:3">
      <c r="A74">
        <v>15</v>
      </c>
      <c r="B74">
        <f>_xlfn.UNICODE(MID(Calcul!$B$58,15,1))</f>
        <v>0</v>
      </c>
      <c r="C74">
        <f>MOD(MOD(_xlfn.BITXOR(C73,B74),256)*16777216+_xlfn.BITXOR(C73,B74)*403,4294967296)</f>
        <v>0</v>
      </c>
    </row>
    <row r="75" spans="1:3">
      <c r="A75">
        <v>16</v>
      </c>
      <c r="B75">
        <f>_xlfn.UNICODE(MID(Calcul!$B$58,16,1))</f>
        <v>0</v>
      </c>
      <c r="C75">
        <f>MOD(MOD(_xlfn.BITXOR(C74,B75),256)*16777216+_xlfn.BITXOR(C74,B75)*403,4294967296)</f>
        <v>0</v>
      </c>
    </row>
    <row r="76" spans="1:3">
      <c r="A76">
        <v>17</v>
      </c>
      <c r="B76">
        <f>_xlfn.UNICODE(MID(Calcul!$B$58,17,1))</f>
        <v>0</v>
      </c>
      <c r="C76">
        <f>MOD(MOD(_xlfn.BITXOR(C75,B76),256)*16777216+_xlfn.BITXOR(C75,B76)*403,4294967296)</f>
        <v>0</v>
      </c>
    </row>
    <row r="77" spans="1:3">
      <c r="A77">
        <v>18</v>
      </c>
      <c r="B77">
        <f>_xlfn.UNICODE(MID(Calcul!$B$58,18,1))</f>
        <v>0</v>
      </c>
      <c r="C77">
        <f>MOD(MOD(_xlfn.BITXOR(C76,B77),256)*16777216+_xlfn.BITXOR(C76,B77)*403,4294967296)</f>
        <v>0</v>
      </c>
    </row>
    <row r="78" spans="1:3">
      <c r="A78">
        <v>19</v>
      </c>
      <c r="B78">
        <f>_xlfn.UNICODE(MID(Calcul!$B$58,19,1))</f>
        <v>0</v>
      </c>
      <c r="C78">
        <f>MOD(MOD(_xlfn.BITXOR(C77,B78),256)*16777216+_xlfn.BITXOR(C77,B78)*403,4294967296)</f>
        <v>0</v>
      </c>
    </row>
    <row r="79" spans="1:3">
      <c r="A79">
        <v>20</v>
      </c>
      <c r="B79">
        <f>_xlfn.UNICODE(MID(Calcul!$B$58,20,1))</f>
        <v>0</v>
      </c>
      <c r="C79">
        <f>MOD(MOD(_xlfn.BITXOR(C78,B79),256)*16777216+_xlfn.BITXOR(C78,B79)*403,4294967296)</f>
        <v>0</v>
      </c>
    </row>
    <row r="80" spans="1:3">
      <c r="A80">
        <v>21</v>
      </c>
      <c r="B80">
        <f>_xlfn.UNICODE(MID(Calcul!$B$58,21,1))</f>
        <v>0</v>
      </c>
      <c r="C80">
        <f>MOD(MOD(_xlfn.BITXOR(C79,B80),256)*16777216+_xlfn.BITXOR(C79,B80)*403,4294967296)</f>
        <v>0</v>
      </c>
    </row>
    <row r="82" spans="1:3">
      <c r="A82" t="s">
        <v>126</v>
      </c>
      <c r="B82">
        <f>Calcul!$B$58&amp;MID('Paramètres'!$D$2,MOD(INT(C80/1),32)+1,1)&amp;MID('Paramètres'!$D$2,MOD(INT(C80/32),32)+1,1)&amp;MID('Paramètres'!$D$2,MOD(INT(C80/1024),32)+1,1)&amp;MID('Paramètres'!$D$2,MOD(INT(C80/32768),32)+1,1)</f>
        <v>0</v>
      </c>
    </row>
    <row r="85" spans="1:3">
      <c r="A85" s="50" t="s">
        <v>127</v>
      </c>
    </row>
    <row r="86" spans="1:3">
      <c r="A86" t="s">
        <v>128</v>
      </c>
      <c r="B86">
        <f>"ape"&amp;Calcul!$B$82&amp;0</f>
        <v>0</v>
      </c>
    </row>
    <row r="87" spans="1:3">
      <c r="B87">
        <f>_xlfn.UNICODE(MID($B$86,1,1))</f>
        <v>0</v>
      </c>
      <c r="C87">
        <f>MOD(MOD(_xlfn.BITXOR(2166136261,B87),256)*16777216+_xlfn.BITXOR(2166136261,B87)*403,4294967296)</f>
        <v>0</v>
      </c>
    </row>
    <row r="88" spans="1:3">
      <c r="B88">
        <f>_xlfn.UNICODE(MID($B$86,2,1))</f>
        <v>0</v>
      </c>
      <c r="C88">
        <f>MOD(MOD(_xlfn.BITXOR(C87,B88),256)*16777216+_xlfn.BITXOR(C87,B88)*403,4294967296)</f>
        <v>0</v>
      </c>
    </row>
    <row r="89" spans="1:3">
      <c r="B89">
        <f>_xlfn.UNICODE(MID($B$86,3,1))</f>
        <v>0</v>
      </c>
      <c r="C89">
        <f>MOD(MOD(_xlfn.BITXOR(C88,B89),256)*16777216+_xlfn.BITXOR(C88,B89)*403,4294967296)</f>
        <v>0</v>
      </c>
    </row>
    <row r="90" spans="1:3">
      <c r="B90">
        <f>_xlfn.UNICODE(MID($B$86,4,1))</f>
        <v>0</v>
      </c>
      <c r="C90">
        <f>MOD(MOD(_xlfn.BITXOR(C89,B90),256)*16777216+_xlfn.BITXOR(C89,B90)*403,4294967296)</f>
        <v>0</v>
      </c>
    </row>
    <row r="91" spans="1:3">
      <c r="B91">
        <f>_xlfn.UNICODE(MID($B$86,5,1))</f>
        <v>0</v>
      </c>
      <c r="C91">
        <f>MOD(MOD(_xlfn.BITXOR(C90,B91),256)*16777216+_xlfn.BITXOR(C90,B91)*403,4294967296)</f>
        <v>0</v>
      </c>
    </row>
    <row r="92" spans="1:3">
      <c r="B92">
        <f>_xlfn.UNICODE(MID($B$86,6,1))</f>
        <v>0</v>
      </c>
      <c r="C92">
        <f>MOD(MOD(_xlfn.BITXOR(C91,B92),256)*16777216+_xlfn.BITXOR(C91,B92)*403,4294967296)</f>
        <v>0</v>
      </c>
    </row>
    <row r="93" spans="1:3">
      <c r="B93">
        <f>_xlfn.UNICODE(MID($B$86,7,1))</f>
        <v>0</v>
      </c>
      <c r="C93">
        <f>MOD(MOD(_xlfn.BITXOR(C92,B93),256)*16777216+_xlfn.BITXOR(C92,B93)*403,4294967296)</f>
        <v>0</v>
      </c>
    </row>
    <row r="94" spans="1:3">
      <c r="B94">
        <f>_xlfn.UNICODE(MID($B$86,8,1))</f>
        <v>0</v>
      </c>
      <c r="C94">
        <f>MOD(MOD(_xlfn.BITXOR(C93,B94),256)*16777216+_xlfn.BITXOR(C93,B94)*403,4294967296)</f>
        <v>0</v>
      </c>
    </row>
    <row r="95" spans="1:3">
      <c r="B95">
        <f>_xlfn.UNICODE(MID($B$86,9,1))</f>
        <v>0</v>
      </c>
      <c r="C95">
        <f>MOD(MOD(_xlfn.BITXOR(C94,B95),256)*16777216+_xlfn.BITXOR(C94,B95)*403,4294967296)</f>
        <v>0</v>
      </c>
    </row>
    <row r="96" spans="1:3">
      <c r="B96">
        <f>_xlfn.UNICODE(MID($B$86,10,1))</f>
        <v>0</v>
      </c>
      <c r="C96">
        <f>MOD(MOD(_xlfn.BITXOR(C95,B96),256)*16777216+_xlfn.BITXOR(C95,B96)*403,4294967296)</f>
        <v>0</v>
      </c>
    </row>
    <row r="97" spans="2:3">
      <c r="B97">
        <f>_xlfn.UNICODE(MID($B$86,11,1))</f>
        <v>0</v>
      </c>
      <c r="C97">
        <f>MOD(MOD(_xlfn.BITXOR(C96,B97),256)*16777216+_xlfn.BITXOR(C96,B97)*403,4294967296)</f>
        <v>0</v>
      </c>
    </row>
    <row r="98" spans="2:3">
      <c r="B98">
        <f>_xlfn.UNICODE(MID($B$86,12,1))</f>
        <v>0</v>
      </c>
      <c r="C98">
        <f>MOD(MOD(_xlfn.BITXOR(C97,B98),256)*16777216+_xlfn.BITXOR(C97,B98)*403,4294967296)</f>
        <v>0</v>
      </c>
    </row>
    <row r="99" spans="2:3">
      <c r="B99">
        <f>_xlfn.UNICODE(MID($B$86,13,1))</f>
        <v>0</v>
      </c>
      <c r="C99">
        <f>MOD(MOD(_xlfn.BITXOR(C98,B99),256)*16777216+_xlfn.BITXOR(C98,B99)*403,4294967296)</f>
        <v>0</v>
      </c>
    </row>
    <row r="100" spans="2:3">
      <c r="B100">
        <f>_xlfn.UNICODE(MID($B$86,14,1))</f>
        <v>0</v>
      </c>
      <c r="C100">
        <f>MOD(MOD(_xlfn.BITXOR(C99,B100),256)*16777216+_xlfn.BITXOR(C99,B100)*403,4294967296)</f>
        <v>0</v>
      </c>
    </row>
    <row r="101" spans="2:3">
      <c r="B101">
        <f>_xlfn.UNICODE(MID($B$86,15,1))</f>
        <v>0</v>
      </c>
      <c r="C101">
        <f>MOD(MOD(_xlfn.BITXOR(C100,B101),256)*16777216+_xlfn.BITXOR(C100,B101)*403,4294967296)</f>
        <v>0</v>
      </c>
    </row>
    <row r="102" spans="2:3">
      <c r="B102">
        <f>_xlfn.UNICODE(MID($B$86,16,1))</f>
        <v>0</v>
      </c>
      <c r="C102">
        <f>MOD(MOD(_xlfn.BITXOR(C101,B102),256)*16777216+_xlfn.BITXOR(C101,B102)*403,4294967296)</f>
        <v>0</v>
      </c>
    </row>
    <row r="103" spans="2:3">
      <c r="B103">
        <f>_xlfn.UNICODE(MID($B$86,17,1))</f>
        <v>0</v>
      </c>
      <c r="C103">
        <f>MOD(MOD(_xlfn.BITXOR(C102,B103),256)*16777216+_xlfn.BITXOR(C102,B103)*403,4294967296)</f>
        <v>0</v>
      </c>
    </row>
    <row r="104" spans="2:3">
      <c r="B104">
        <f>_xlfn.UNICODE(MID($B$86,18,1))</f>
        <v>0</v>
      </c>
      <c r="C104">
        <f>MOD(MOD(_xlfn.BITXOR(C103,B104),256)*16777216+_xlfn.BITXOR(C103,B104)*403,4294967296)</f>
        <v>0</v>
      </c>
    </row>
    <row r="105" spans="2:3">
      <c r="B105">
        <f>_xlfn.UNICODE(MID($B$86,19,1))</f>
        <v>0</v>
      </c>
      <c r="C105">
        <f>MOD(MOD(_xlfn.BITXOR(C104,B105),256)*16777216+_xlfn.BITXOR(C104,B105)*403,4294967296)</f>
        <v>0</v>
      </c>
    </row>
    <row r="106" spans="2:3">
      <c r="B106">
        <f>_xlfn.UNICODE(MID($B$86,20,1))</f>
        <v>0</v>
      </c>
      <c r="C106">
        <f>MOD(MOD(_xlfn.BITXOR(C105,B106),256)*16777216+_xlfn.BITXOR(C105,B106)*403,4294967296)</f>
        <v>0</v>
      </c>
    </row>
    <row r="107" spans="2:3">
      <c r="B107">
        <f>_xlfn.UNICODE(MID($B$86,21,1))</f>
        <v>0</v>
      </c>
      <c r="C107">
        <f>MOD(MOD(_xlfn.BITXOR(C106,B107),256)*16777216+_xlfn.BITXOR(C106,B107)*403,4294967296)</f>
        <v>0</v>
      </c>
    </row>
    <row r="108" spans="2:3">
      <c r="B108">
        <f>_xlfn.UNICODE(MID($B$86,22,1))</f>
        <v>0</v>
      </c>
      <c r="C108">
        <f>MOD(MOD(_xlfn.BITXOR(C107,B108),256)*16777216+_xlfn.BITXOR(C107,B108)*403,4294967296)</f>
        <v>0</v>
      </c>
    </row>
    <row r="109" spans="2:3">
      <c r="B109">
        <f>_xlfn.UNICODE(MID($B$86,23,1))</f>
        <v>0</v>
      </c>
      <c r="C109">
        <f>MOD(MOD(_xlfn.BITXOR(C108,B109),256)*16777216+_xlfn.BITXOR(C108,B109)*403,4294967296)</f>
        <v>0</v>
      </c>
    </row>
    <row r="110" spans="2:3">
      <c r="B110">
        <f>_xlfn.UNICODE(MID($B$86,24,1))</f>
        <v>0</v>
      </c>
      <c r="C110">
        <f>MOD(MOD(_xlfn.BITXOR(C109,B110),256)*16777216+_xlfn.BITXOR(C109,B110)*403,4294967296)</f>
        <v>0</v>
      </c>
    </row>
    <row r="111" spans="2:3">
      <c r="B111">
        <f>_xlfn.UNICODE(MID($B$86,25,1))</f>
        <v>0</v>
      </c>
      <c r="C111">
        <f>MOD(MOD(_xlfn.BITXOR(C110,B111),256)*16777216+_xlfn.BITXOR(C110,B111)*403,4294967296)</f>
        <v>0</v>
      </c>
    </row>
    <row r="112" spans="2:3">
      <c r="B112">
        <f>_xlfn.UNICODE(MID($B$86,26,1))</f>
        <v>0</v>
      </c>
      <c r="C112">
        <f>MOD(MOD(_xlfn.BITXOR(C111,B112),256)*16777216+_xlfn.BITXOR(C111,B112)*403,4294967296)</f>
        <v>0</v>
      </c>
    </row>
    <row r="113" spans="1:3">
      <c r="B113">
        <f>_xlfn.UNICODE(MID($B$86,27,1))</f>
        <v>0</v>
      </c>
      <c r="C113">
        <f>MOD(MOD(_xlfn.BITXOR(C112,B113),256)*16777216+_xlfn.BITXOR(C112,B113)*403,4294967296)</f>
        <v>0</v>
      </c>
    </row>
    <row r="114" spans="1:3">
      <c r="B114">
        <f>_xlfn.UNICODE(MID($B$86,28,1))</f>
        <v>0</v>
      </c>
      <c r="C114">
        <f>MOD(MOD(_xlfn.BITXOR(C113,B114),256)*16777216+_xlfn.BITXOR(C113,B114)*403,4294967296)</f>
        <v>0</v>
      </c>
    </row>
    <row r="115" spans="1:3">
      <c r="B115">
        <f>_xlfn.UNICODE(MID($B$86,29,1))</f>
        <v>0</v>
      </c>
      <c r="C115">
        <f>MOD(MOD(_xlfn.BITXOR(C114,B115),256)*16777216+_xlfn.BITXOR(C114,B115)*403,4294967296)</f>
        <v>0</v>
      </c>
    </row>
    <row r="116" spans="1:3">
      <c r="A116" t="s">
        <v>129</v>
      </c>
      <c r="B116">
        <f>"ape"&amp;Calcul!$B$82&amp;2</f>
        <v>0</v>
      </c>
    </row>
    <row r="117" spans="1:3">
      <c r="B117">
        <f>_xlfn.UNICODE(MID($B$116,1,1))</f>
        <v>0</v>
      </c>
      <c r="C117">
        <f>MOD(MOD(_xlfn.BITXOR(C115,B117),256)*16777216+_xlfn.BITXOR(C115,B117)*403,4294967296)</f>
        <v>0</v>
      </c>
    </row>
    <row r="118" spans="1:3">
      <c r="B118">
        <f>_xlfn.UNICODE(MID($B$116,2,1))</f>
        <v>0</v>
      </c>
      <c r="C118">
        <f>MOD(MOD(_xlfn.BITXOR(C117,B118),256)*16777216+_xlfn.BITXOR(C117,B118)*403,4294967296)</f>
        <v>0</v>
      </c>
    </row>
    <row r="119" spans="1:3">
      <c r="B119">
        <f>_xlfn.UNICODE(MID($B$116,3,1))</f>
        <v>0</v>
      </c>
      <c r="C119">
        <f>MOD(MOD(_xlfn.BITXOR(C118,B119),256)*16777216+_xlfn.BITXOR(C118,B119)*403,4294967296)</f>
        <v>0</v>
      </c>
    </row>
    <row r="120" spans="1:3">
      <c r="B120">
        <f>_xlfn.UNICODE(MID($B$116,4,1))</f>
        <v>0</v>
      </c>
      <c r="C120">
        <f>MOD(MOD(_xlfn.BITXOR(C119,B120),256)*16777216+_xlfn.BITXOR(C119,B120)*403,4294967296)</f>
        <v>0</v>
      </c>
    </row>
    <row r="121" spans="1:3">
      <c r="B121">
        <f>_xlfn.UNICODE(MID($B$116,5,1))</f>
        <v>0</v>
      </c>
      <c r="C121">
        <f>MOD(MOD(_xlfn.BITXOR(C120,B121),256)*16777216+_xlfn.BITXOR(C120,B121)*403,4294967296)</f>
        <v>0</v>
      </c>
    </row>
    <row r="122" spans="1:3">
      <c r="B122">
        <f>_xlfn.UNICODE(MID($B$116,6,1))</f>
        <v>0</v>
      </c>
      <c r="C122">
        <f>MOD(MOD(_xlfn.BITXOR(C121,B122),256)*16777216+_xlfn.BITXOR(C121,B122)*403,4294967296)</f>
        <v>0</v>
      </c>
    </row>
    <row r="123" spans="1:3">
      <c r="B123">
        <f>_xlfn.UNICODE(MID($B$116,7,1))</f>
        <v>0</v>
      </c>
      <c r="C123">
        <f>MOD(MOD(_xlfn.BITXOR(C122,B123),256)*16777216+_xlfn.BITXOR(C122,B123)*403,4294967296)</f>
        <v>0</v>
      </c>
    </row>
    <row r="124" spans="1:3">
      <c r="B124">
        <f>_xlfn.UNICODE(MID($B$116,8,1))</f>
        <v>0</v>
      </c>
      <c r="C124">
        <f>MOD(MOD(_xlfn.BITXOR(C123,B124),256)*16777216+_xlfn.BITXOR(C123,B124)*403,4294967296)</f>
        <v>0</v>
      </c>
    </row>
    <row r="125" spans="1:3">
      <c r="B125">
        <f>_xlfn.UNICODE(MID($B$116,9,1))</f>
        <v>0</v>
      </c>
      <c r="C125">
        <f>MOD(MOD(_xlfn.BITXOR(C124,B125),256)*16777216+_xlfn.BITXOR(C124,B125)*403,4294967296)</f>
        <v>0</v>
      </c>
    </row>
    <row r="126" spans="1:3">
      <c r="B126">
        <f>_xlfn.UNICODE(MID($B$116,10,1))</f>
        <v>0</v>
      </c>
      <c r="C126">
        <f>MOD(MOD(_xlfn.BITXOR(C125,B126),256)*16777216+_xlfn.BITXOR(C125,B126)*403,4294967296)</f>
        <v>0</v>
      </c>
    </row>
    <row r="127" spans="1:3">
      <c r="B127">
        <f>_xlfn.UNICODE(MID($B$116,11,1))</f>
        <v>0</v>
      </c>
      <c r="C127">
        <f>MOD(MOD(_xlfn.BITXOR(C126,B127),256)*16777216+_xlfn.BITXOR(C126,B127)*403,4294967296)</f>
        <v>0</v>
      </c>
    </row>
    <row r="128" spans="1:3">
      <c r="B128">
        <f>_xlfn.UNICODE(MID($B$116,12,1))</f>
        <v>0</v>
      </c>
      <c r="C128">
        <f>MOD(MOD(_xlfn.BITXOR(C127,B128),256)*16777216+_xlfn.BITXOR(C127,B128)*403,4294967296)</f>
        <v>0</v>
      </c>
    </row>
    <row r="129" spans="2:3">
      <c r="B129">
        <f>_xlfn.UNICODE(MID($B$116,13,1))</f>
        <v>0</v>
      </c>
      <c r="C129">
        <f>MOD(MOD(_xlfn.BITXOR(C128,B129),256)*16777216+_xlfn.BITXOR(C128,B129)*403,4294967296)</f>
        <v>0</v>
      </c>
    </row>
    <row r="130" spans="2:3">
      <c r="B130">
        <f>_xlfn.UNICODE(MID($B$116,14,1))</f>
        <v>0</v>
      </c>
      <c r="C130">
        <f>MOD(MOD(_xlfn.BITXOR(C129,B130),256)*16777216+_xlfn.BITXOR(C129,B130)*403,4294967296)</f>
        <v>0</v>
      </c>
    </row>
    <row r="131" spans="2:3">
      <c r="B131">
        <f>_xlfn.UNICODE(MID($B$116,15,1))</f>
        <v>0</v>
      </c>
      <c r="C131">
        <f>MOD(MOD(_xlfn.BITXOR(C130,B131),256)*16777216+_xlfn.BITXOR(C130,B131)*403,4294967296)</f>
        <v>0</v>
      </c>
    </row>
    <row r="132" spans="2:3">
      <c r="B132">
        <f>_xlfn.UNICODE(MID($B$116,16,1))</f>
        <v>0</v>
      </c>
      <c r="C132">
        <f>MOD(MOD(_xlfn.BITXOR(C131,B132),256)*16777216+_xlfn.BITXOR(C131,B132)*403,4294967296)</f>
        <v>0</v>
      </c>
    </row>
    <row r="133" spans="2:3">
      <c r="B133">
        <f>_xlfn.UNICODE(MID($B$116,17,1))</f>
        <v>0</v>
      </c>
      <c r="C133">
        <f>MOD(MOD(_xlfn.BITXOR(C132,B133),256)*16777216+_xlfn.BITXOR(C132,B133)*403,4294967296)</f>
        <v>0</v>
      </c>
    </row>
    <row r="134" spans="2:3">
      <c r="B134">
        <f>_xlfn.UNICODE(MID($B$116,18,1))</f>
        <v>0</v>
      </c>
      <c r="C134">
        <f>MOD(MOD(_xlfn.BITXOR(C133,B134),256)*16777216+_xlfn.BITXOR(C133,B134)*403,4294967296)</f>
        <v>0</v>
      </c>
    </row>
    <row r="135" spans="2:3">
      <c r="B135">
        <f>_xlfn.UNICODE(MID($B$116,19,1))</f>
        <v>0</v>
      </c>
      <c r="C135">
        <f>MOD(MOD(_xlfn.BITXOR(C134,B135),256)*16777216+_xlfn.BITXOR(C134,B135)*403,4294967296)</f>
        <v>0</v>
      </c>
    </row>
    <row r="136" spans="2:3">
      <c r="B136">
        <f>_xlfn.UNICODE(MID($B$116,20,1))</f>
        <v>0</v>
      </c>
      <c r="C136">
        <f>MOD(MOD(_xlfn.BITXOR(C135,B136),256)*16777216+_xlfn.BITXOR(C135,B136)*403,4294967296)</f>
        <v>0</v>
      </c>
    </row>
    <row r="137" spans="2:3">
      <c r="B137">
        <f>_xlfn.UNICODE(MID($B$116,21,1))</f>
        <v>0</v>
      </c>
      <c r="C137">
        <f>MOD(MOD(_xlfn.BITXOR(C136,B137),256)*16777216+_xlfn.BITXOR(C136,B137)*403,4294967296)</f>
        <v>0</v>
      </c>
    </row>
    <row r="138" spans="2:3">
      <c r="B138">
        <f>_xlfn.UNICODE(MID($B$116,22,1))</f>
        <v>0</v>
      </c>
      <c r="C138">
        <f>MOD(MOD(_xlfn.BITXOR(C137,B138),256)*16777216+_xlfn.BITXOR(C137,B138)*403,4294967296)</f>
        <v>0</v>
      </c>
    </row>
    <row r="139" spans="2:3">
      <c r="B139">
        <f>_xlfn.UNICODE(MID($B$116,23,1))</f>
        <v>0</v>
      </c>
      <c r="C139">
        <f>MOD(MOD(_xlfn.BITXOR(C138,B139),256)*16777216+_xlfn.BITXOR(C138,B139)*403,4294967296)</f>
        <v>0</v>
      </c>
    </row>
    <row r="140" spans="2:3">
      <c r="B140">
        <f>_xlfn.UNICODE(MID($B$116,24,1))</f>
        <v>0</v>
      </c>
      <c r="C140">
        <f>MOD(MOD(_xlfn.BITXOR(C139,B140),256)*16777216+_xlfn.BITXOR(C139,B140)*403,4294967296)</f>
        <v>0</v>
      </c>
    </row>
    <row r="141" spans="2:3">
      <c r="B141">
        <f>_xlfn.UNICODE(MID($B$116,25,1))</f>
        <v>0</v>
      </c>
      <c r="C141">
        <f>MOD(MOD(_xlfn.BITXOR(C140,B141),256)*16777216+_xlfn.BITXOR(C140,B141)*403,4294967296)</f>
        <v>0</v>
      </c>
    </row>
    <row r="142" spans="2:3">
      <c r="B142">
        <f>_xlfn.UNICODE(MID($B$116,26,1))</f>
        <v>0</v>
      </c>
      <c r="C142">
        <f>MOD(MOD(_xlfn.BITXOR(C141,B142),256)*16777216+_xlfn.BITXOR(C141,B142)*403,4294967296)</f>
        <v>0</v>
      </c>
    </row>
    <row r="143" spans="2:3">
      <c r="B143">
        <f>_xlfn.UNICODE(MID($B$116,27,1))</f>
        <v>0</v>
      </c>
      <c r="C143">
        <f>MOD(MOD(_xlfn.BITXOR(C142,B143),256)*16777216+_xlfn.BITXOR(C142,B143)*403,4294967296)</f>
        <v>0</v>
      </c>
    </row>
    <row r="144" spans="2:3">
      <c r="B144">
        <f>_xlfn.UNICODE(MID($B$116,28,1))</f>
        <v>0</v>
      </c>
      <c r="C144">
        <f>MOD(MOD(_xlfn.BITXOR(C143,B144),256)*16777216+_xlfn.BITXOR(C143,B144)*403,4294967296)</f>
        <v>0</v>
      </c>
    </row>
    <row r="145" spans="1:3">
      <c r="B145">
        <f>_xlfn.UNICODE(MID($B$116,29,1))</f>
        <v>0</v>
      </c>
      <c r="C145">
        <f>MOD(MOD(_xlfn.BITXOR(C144,B145),256)*16777216+_xlfn.BITXOR(C144,B145)*403,4294967296)</f>
        <v>0</v>
      </c>
    </row>
    <row r="146" spans="1:3">
      <c r="A146" t="s">
        <v>130</v>
      </c>
      <c r="B146">
        <f>"ape"&amp;Calcul!$B$82&amp;4</f>
        <v>0</v>
      </c>
    </row>
    <row r="147" spans="1:3">
      <c r="B147">
        <f>_xlfn.UNICODE(MID($B$146,1,1))</f>
        <v>0</v>
      </c>
      <c r="C147">
        <f>MOD(MOD(_xlfn.BITXOR(C145,B147),256)*16777216+_xlfn.BITXOR(C145,B147)*403,4294967296)</f>
        <v>0</v>
      </c>
    </row>
    <row r="148" spans="1:3">
      <c r="B148">
        <f>_xlfn.UNICODE(MID($B$146,2,1))</f>
        <v>0</v>
      </c>
      <c r="C148">
        <f>MOD(MOD(_xlfn.BITXOR(C147,B148),256)*16777216+_xlfn.BITXOR(C147,B148)*403,4294967296)</f>
        <v>0</v>
      </c>
    </row>
    <row r="149" spans="1:3">
      <c r="B149">
        <f>_xlfn.UNICODE(MID($B$146,3,1))</f>
        <v>0</v>
      </c>
      <c r="C149">
        <f>MOD(MOD(_xlfn.BITXOR(C148,B149),256)*16777216+_xlfn.BITXOR(C148,B149)*403,4294967296)</f>
        <v>0</v>
      </c>
    </row>
    <row r="150" spans="1:3">
      <c r="B150">
        <f>_xlfn.UNICODE(MID($B$146,4,1))</f>
        <v>0</v>
      </c>
      <c r="C150">
        <f>MOD(MOD(_xlfn.BITXOR(C149,B150),256)*16777216+_xlfn.BITXOR(C149,B150)*403,4294967296)</f>
        <v>0</v>
      </c>
    </row>
    <row r="151" spans="1:3">
      <c r="B151">
        <f>_xlfn.UNICODE(MID($B$146,5,1))</f>
        <v>0</v>
      </c>
      <c r="C151">
        <f>MOD(MOD(_xlfn.BITXOR(C150,B151),256)*16777216+_xlfn.BITXOR(C150,B151)*403,4294967296)</f>
        <v>0</v>
      </c>
    </row>
    <row r="152" spans="1:3">
      <c r="B152">
        <f>_xlfn.UNICODE(MID($B$146,6,1))</f>
        <v>0</v>
      </c>
      <c r="C152">
        <f>MOD(MOD(_xlfn.BITXOR(C151,B152),256)*16777216+_xlfn.BITXOR(C151,B152)*403,4294967296)</f>
        <v>0</v>
      </c>
    </row>
    <row r="153" spans="1:3">
      <c r="B153">
        <f>_xlfn.UNICODE(MID($B$146,7,1))</f>
        <v>0</v>
      </c>
      <c r="C153">
        <f>MOD(MOD(_xlfn.BITXOR(C152,B153),256)*16777216+_xlfn.BITXOR(C152,B153)*403,4294967296)</f>
        <v>0</v>
      </c>
    </row>
    <row r="154" spans="1:3">
      <c r="B154">
        <f>_xlfn.UNICODE(MID($B$146,8,1))</f>
        <v>0</v>
      </c>
      <c r="C154">
        <f>MOD(MOD(_xlfn.BITXOR(C153,B154),256)*16777216+_xlfn.BITXOR(C153,B154)*403,4294967296)</f>
        <v>0</v>
      </c>
    </row>
    <row r="155" spans="1:3">
      <c r="B155">
        <f>_xlfn.UNICODE(MID($B$146,9,1))</f>
        <v>0</v>
      </c>
      <c r="C155">
        <f>MOD(MOD(_xlfn.BITXOR(C154,B155),256)*16777216+_xlfn.BITXOR(C154,B155)*403,4294967296)</f>
        <v>0</v>
      </c>
    </row>
    <row r="156" spans="1:3">
      <c r="B156">
        <f>_xlfn.UNICODE(MID($B$146,10,1))</f>
        <v>0</v>
      </c>
      <c r="C156">
        <f>MOD(MOD(_xlfn.BITXOR(C155,B156),256)*16777216+_xlfn.BITXOR(C155,B156)*403,4294967296)</f>
        <v>0</v>
      </c>
    </row>
    <row r="157" spans="1:3">
      <c r="B157">
        <f>_xlfn.UNICODE(MID($B$146,11,1))</f>
        <v>0</v>
      </c>
      <c r="C157">
        <f>MOD(MOD(_xlfn.BITXOR(C156,B157),256)*16777216+_xlfn.BITXOR(C156,B157)*403,4294967296)</f>
        <v>0</v>
      </c>
    </row>
    <row r="158" spans="1:3">
      <c r="B158">
        <f>_xlfn.UNICODE(MID($B$146,12,1))</f>
        <v>0</v>
      </c>
      <c r="C158">
        <f>MOD(MOD(_xlfn.BITXOR(C157,B158),256)*16777216+_xlfn.BITXOR(C157,B158)*403,4294967296)</f>
        <v>0</v>
      </c>
    </row>
    <row r="159" spans="1:3">
      <c r="B159">
        <f>_xlfn.UNICODE(MID($B$146,13,1))</f>
        <v>0</v>
      </c>
      <c r="C159">
        <f>MOD(MOD(_xlfn.BITXOR(C158,B159),256)*16777216+_xlfn.BITXOR(C158,B159)*403,4294967296)</f>
        <v>0</v>
      </c>
    </row>
    <row r="160" spans="1:3">
      <c r="B160">
        <f>_xlfn.UNICODE(MID($B$146,14,1))</f>
        <v>0</v>
      </c>
      <c r="C160">
        <f>MOD(MOD(_xlfn.BITXOR(C159,B160),256)*16777216+_xlfn.BITXOR(C159,B160)*403,4294967296)</f>
        <v>0</v>
      </c>
    </row>
    <row r="161" spans="1:3">
      <c r="B161">
        <f>_xlfn.UNICODE(MID($B$146,15,1))</f>
        <v>0</v>
      </c>
      <c r="C161">
        <f>MOD(MOD(_xlfn.BITXOR(C160,B161),256)*16777216+_xlfn.BITXOR(C160,B161)*403,4294967296)</f>
        <v>0</v>
      </c>
    </row>
    <row r="162" spans="1:3">
      <c r="B162">
        <f>_xlfn.UNICODE(MID($B$146,16,1))</f>
        <v>0</v>
      </c>
      <c r="C162">
        <f>MOD(MOD(_xlfn.BITXOR(C161,B162),256)*16777216+_xlfn.BITXOR(C161,B162)*403,4294967296)</f>
        <v>0</v>
      </c>
    </row>
    <row r="163" spans="1:3">
      <c r="B163">
        <f>_xlfn.UNICODE(MID($B$146,17,1))</f>
        <v>0</v>
      </c>
      <c r="C163">
        <f>MOD(MOD(_xlfn.BITXOR(C162,B163),256)*16777216+_xlfn.BITXOR(C162,B163)*403,4294967296)</f>
        <v>0</v>
      </c>
    </row>
    <row r="164" spans="1:3">
      <c r="B164">
        <f>_xlfn.UNICODE(MID($B$146,18,1))</f>
        <v>0</v>
      </c>
      <c r="C164">
        <f>MOD(MOD(_xlfn.BITXOR(C163,B164),256)*16777216+_xlfn.BITXOR(C163,B164)*403,4294967296)</f>
        <v>0</v>
      </c>
    </row>
    <row r="165" spans="1:3">
      <c r="B165">
        <f>_xlfn.UNICODE(MID($B$146,19,1))</f>
        <v>0</v>
      </c>
      <c r="C165">
        <f>MOD(MOD(_xlfn.BITXOR(C164,B165),256)*16777216+_xlfn.BITXOR(C164,B165)*403,4294967296)</f>
        <v>0</v>
      </c>
    </row>
    <row r="166" spans="1:3">
      <c r="B166">
        <f>_xlfn.UNICODE(MID($B$146,20,1))</f>
        <v>0</v>
      </c>
      <c r="C166">
        <f>MOD(MOD(_xlfn.BITXOR(C165,B166),256)*16777216+_xlfn.BITXOR(C165,B166)*403,4294967296)</f>
        <v>0</v>
      </c>
    </row>
    <row r="167" spans="1:3">
      <c r="B167">
        <f>_xlfn.UNICODE(MID($B$146,21,1))</f>
        <v>0</v>
      </c>
      <c r="C167">
        <f>MOD(MOD(_xlfn.BITXOR(C166,B167),256)*16777216+_xlfn.BITXOR(C166,B167)*403,4294967296)</f>
        <v>0</v>
      </c>
    </row>
    <row r="168" spans="1:3">
      <c r="B168">
        <f>_xlfn.UNICODE(MID($B$146,22,1))</f>
        <v>0</v>
      </c>
      <c r="C168">
        <f>MOD(MOD(_xlfn.BITXOR(C167,B168),256)*16777216+_xlfn.BITXOR(C167,B168)*403,4294967296)</f>
        <v>0</v>
      </c>
    </row>
    <row r="169" spans="1:3">
      <c r="B169">
        <f>_xlfn.UNICODE(MID($B$146,23,1))</f>
        <v>0</v>
      </c>
      <c r="C169">
        <f>MOD(MOD(_xlfn.BITXOR(C168,B169),256)*16777216+_xlfn.BITXOR(C168,B169)*403,4294967296)</f>
        <v>0</v>
      </c>
    </row>
    <row r="170" spans="1:3">
      <c r="B170">
        <f>_xlfn.UNICODE(MID($B$146,24,1))</f>
        <v>0</v>
      </c>
      <c r="C170">
        <f>MOD(MOD(_xlfn.BITXOR(C169,B170),256)*16777216+_xlfn.BITXOR(C169,B170)*403,4294967296)</f>
        <v>0</v>
      </c>
    </row>
    <row r="171" spans="1:3">
      <c r="B171">
        <f>_xlfn.UNICODE(MID($B$146,25,1))</f>
        <v>0</v>
      </c>
      <c r="C171">
        <f>MOD(MOD(_xlfn.BITXOR(C170,B171),256)*16777216+_xlfn.BITXOR(C170,B171)*403,4294967296)</f>
        <v>0</v>
      </c>
    </row>
    <row r="172" spans="1:3">
      <c r="B172">
        <f>_xlfn.UNICODE(MID($B$146,26,1))</f>
        <v>0</v>
      </c>
      <c r="C172">
        <f>MOD(MOD(_xlfn.BITXOR(C171,B172),256)*16777216+_xlfn.BITXOR(C171,B172)*403,4294967296)</f>
        <v>0</v>
      </c>
    </row>
    <row r="173" spans="1:3">
      <c r="B173">
        <f>_xlfn.UNICODE(MID($B$146,27,1))</f>
        <v>0</v>
      </c>
      <c r="C173">
        <f>MOD(MOD(_xlfn.BITXOR(C172,B173),256)*16777216+_xlfn.BITXOR(C172,B173)*403,4294967296)</f>
        <v>0</v>
      </c>
    </row>
    <row r="174" spans="1:3">
      <c r="B174">
        <f>_xlfn.UNICODE(MID($B$146,28,1))</f>
        <v>0</v>
      </c>
      <c r="C174">
        <f>MOD(MOD(_xlfn.BITXOR(C173,B174),256)*16777216+_xlfn.BITXOR(C173,B174)*403,4294967296)</f>
        <v>0</v>
      </c>
    </row>
    <row r="175" spans="1:3">
      <c r="B175">
        <f>_xlfn.UNICODE(MID($B$146,29,1))</f>
        <v>0</v>
      </c>
      <c r="C175">
        <f>MOD(MOD(_xlfn.BITXOR(C174,B175),256)*16777216+_xlfn.BITXOR(C174,B175)*403,4294967296)</f>
        <v>0</v>
      </c>
    </row>
    <row r="176" spans="1:3">
      <c r="A176" t="s">
        <v>131</v>
      </c>
      <c r="B176">
        <f>"ape"&amp;Calcul!$B$82&amp;6</f>
        <v>0</v>
      </c>
    </row>
    <row r="177" spans="2:3">
      <c r="B177">
        <f>_xlfn.UNICODE(MID($B$176,1,1))</f>
        <v>0</v>
      </c>
      <c r="C177">
        <f>MOD(MOD(_xlfn.BITXOR(C175,B177),256)*16777216+_xlfn.BITXOR(C175,B177)*403,4294967296)</f>
        <v>0</v>
      </c>
    </row>
    <row r="178" spans="2:3">
      <c r="B178">
        <f>_xlfn.UNICODE(MID($B$176,2,1))</f>
        <v>0</v>
      </c>
      <c r="C178">
        <f>MOD(MOD(_xlfn.BITXOR(C177,B178),256)*16777216+_xlfn.BITXOR(C177,B178)*403,4294967296)</f>
        <v>0</v>
      </c>
    </row>
    <row r="179" spans="2:3">
      <c r="B179">
        <f>_xlfn.UNICODE(MID($B$176,3,1))</f>
        <v>0</v>
      </c>
      <c r="C179">
        <f>MOD(MOD(_xlfn.BITXOR(C178,B179),256)*16777216+_xlfn.BITXOR(C178,B179)*403,4294967296)</f>
        <v>0</v>
      </c>
    </row>
    <row r="180" spans="2:3">
      <c r="B180">
        <f>_xlfn.UNICODE(MID($B$176,4,1))</f>
        <v>0</v>
      </c>
      <c r="C180">
        <f>MOD(MOD(_xlfn.BITXOR(C179,B180),256)*16777216+_xlfn.BITXOR(C179,B180)*403,4294967296)</f>
        <v>0</v>
      </c>
    </row>
    <row r="181" spans="2:3">
      <c r="B181">
        <f>_xlfn.UNICODE(MID($B$176,5,1))</f>
        <v>0</v>
      </c>
      <c r="C181">
        <f>MOD(MOD(_xlfn.BITXOR(C180,B181),256)*16777216+_xlfn.BITXOR(C180,B181)*403,4294967296)</f>
        <v>0</v>
      </c>
    </row>
    <row r="182" spans="2:3">
      <c r="B182">
        <f>_xlfn.UNICODE(MID($B$176,6,1))</f>
        <v>0</v>
      </c>
      <c r="C182">
        <f>MOD(MOD(_xlfn.BITXOR(C181,B182),256)*16777216+_xlfn.BITXOR(C181,B182)*403,4294967296)</f>
        <v>0</v>
      </c>
    </row>
    <row r="183" spans="2:3">
      <c r="B183">
        <f>_xlfn.UNICODE(MID($B$176,7,1))</f>
        <v>0</v>
      </c>
      <c r="C183">
        <f>MOD(MOD(_xlfn.BITXOR(C182,B183),256)*16777216+_xlfn.BITXOR(C182,B183)*403,4294967296)</f>
        <v>0</v>
      </c>
    </row>
    <row r="184" spans="2:3">
      <c r="B184">
        <f>_xlfn.UNICODE(MID($B$176,8,1))</f>
        <v>0</v>
      </c>
      <c r="C184">
        <f>MOD(MOD(_xlfn.BITXOR(C183,B184),256)*16777216+_xlfn.BITXOR(C183,B184)*403,4294967296)</f>
        <v>0</v>
      </c>
    </row>
    <row r="185" spans="2:3">
      <c r="B185">
        <f>_xlfn.UNICODE(MID($B$176,9,1))</f>
        <v>0</v>
      </c>
      <c r="C185">
        <f>MOD(MOD(_xlfn.BITXOR(C184,B185),256)*16777216+_xlfn.BITXOR(C184,B185)*403,4294967296)</f>
        <v>0</v>
      </c>
    </row>
    <row r="186" spans="2:3">
      <c r="B186">
        <f>_xlfn.UNICODE(MID($B$176,10,1))</f>
        <v>0</v>
      </c>
      <c r="C186">
        <f>MOD(MOD(_xlfn.BITXOR(C185,B186),256)*16777216+_xlfn.BITXOR(C185,B186)*403,4294967296)</f>
        <v>0</v>
      </c>
    </row>
    <row r="187" spans="2:3">
      <c r="B187">
        <f>_xlfn.UNICODE(MID($B$176,11,1))</f>
        <v>0</v>
      </c>
      <c r="C187">
        <f>MOD(MOD(_xlfn.BITXOR(C186,B187),256)*16777216+_xlfn.BITXOR(C186,B187)*403,4294967296)</f>
        <v>0</v>
      </c>
    </row>
    <row r="188" spans="2:3">
      <c r="B188">
        <f>_xlfn.UNICODE(MID($B$176,12,1))</f>
        <v>0</v>
      </c>
      <c r="C188">
        <f>MOD(MOD(_xlfn.BITXOR(C187,B188),256)*16777216+_xlfn.BITXOR(C187,B188)*403,4294967296)</f>
        <v>0</v>
      </c>
    </row>
    <row r="189" spans="2:3">
      <c r="B189">
        <f>_xlfn.UNICODE(MID($B$176,13,1))</f>
        <v>0</v>
      </c>
      <c r="C189">
        <f>MOD(MOD(_xlfn.BITXOR(C188,B189),256)*16777216+_xlfn.BITXOR(C188,B189)*403,4294967296)</f>
        <v>0</v>
      </c>
    </row>
    <row r="190" spans="2:3">
      <c r="B190">
        <f>_xlfn.UNICODE(MID($B$176,14,1))</f>
        <v>0</v>
      </c>
      <c r="C190">
        <f>MOD(MOD(_xlfn.BITXOR(C189,B190),256)*16777216+_xlfn.BITXOR(C189,B190)*403,4294967296)</f>
        <v>0</v>
      </c>
    </row>
    <row r="191" spans="2:3">
      <c r="B191">
        <f>_xlfn.UNICODE(MID($B$176,15,1))</f>
        <v>0</v>
      </c>
      <c r="C191">
        <f>MOD(MOD(_xlfn.BITXOR(C190,B191),256)*16777216+_xlfn.BITXOR(C190,B191)*403,4294967296)</f>
        <v>0</v>
      </c>
    </row>
    <row r="192" spans="2:3">
      <c r="B192">
        <f>_xlfn.UNICODE(MID($B$176,16,1))</f>
        <v>0</v>
      </c>
      <c r="C192">
        <f>MOD(MOD(_xlfn.BITXOR(C191,B192),256)*16777216+_xlfn.BITXOR(C191,B192)*403,4294967296)</f>
        <v>0</v>
      </c>
    </row>
    <row r="193" spans="1:3">
      <c r="B193">
        <f>_xlfn.UNICODE(MID($B$176,17,1))</f>
        <v>0</v>
      </c>
      <c r="C193">
        <f>MOD(MOD(_xlfn.BITXOR(C192,B193),256)*16777216+_xlfn.BITXOR(C192,B193)*403,4294967296)</f>
        <v>0</v>
      </c>
    </row>
    <row r="194" spans="1:3">
      <c r="B194">
        <f>_xlfn.UNICODE(MID($B$176,18,1))</f>
        <v>0</v>
      </c>
      <c r="C194">
        <f>MOD(MOD(_xlfn.BITXOR(C193,B194),256)*16777216+_xlfn.BITXOR(C193,B194)*403,4294967296)</f>
        <v>0</v>
      </c>
    </row>
    <row r="195" spans="1:3">
      <c r="B195">
        <f>_xlfn.UNICODE(MID($B$176,19,1))</f>
        <v>0</v>
      </c>
      <c r="C195">
        <f>MOD(MOD(_xlfn.BITXOR(C194,B195),256)*16777216+_xlfn.BITXOR(C194,B195)*403,4294967296)</f>
        <v>0</v>
      </c>
    </row>
    <row r="196" spans="1:3">
      <c r="B196">
        <f>_xlfn.UNICODE(MID($B$176,20,1))</f>
        <v>0</v>
      </c>
      <c r="C196">
        <f>MOD(MOD(_xlfn.BITXOR(C195,B196),256)*16777216+_xlfn.BITXOR(C195,B196)*403,4294967296)</f>
        <v>0</v>
      </c>
    </row>
    <row r="197" spans="1:3">
      <c r="B197">
        <f>_xlfn.UNICODE(MID($B$176,21,1))</f>
        <v>0</v>
      </c>
      <c r="C197">
        <f>MOD(MOD(_xlfn.BITXOR(C196,B197),256)*16777216+_xlfn.BITXOR(C196,B197)*403,4294967296)</f>
        <v>0</v>
      </c>
    </row>
    <row r="198" spans="1:3">
      <c r="B198">
        <f>_xlfn.UNICODE(MID($B$176,22,1))</f>
        <v>0</v>
      </c>
      <c r="C198">
        <f>MOD(MOD(_xlfn.BITXOR(C197,B198),256)*16777216+_xlfn.BITXOR(C197,B198)*403,4294967296)</f>
        <v>0</v>
      </c>
    </row>
    <row r="199" spans="1:3">
      <c r="B199">
        <f>_xlfn.UNICODE(MID($B$176,23,1))</f>
        <v>0</v>
      </c>
      <c r="C199">
        <f>MOD(MOD(_xlfn.BITXOR(C198,B199),256)*16777216+_xlfn.BITXOR(C198,B199)*403,4294967296)</f>
        <v>0</v>
      </c>
    </row>
    <row r="200" spans="1:3">
      <c r="B200">
        <f>_xlfn.UNICODE(MID($B$176,24,1))</f>
        <v>0</v>
      </c>
      <c r="C200">
        <f>MOD(MOD(_xlfn.BITXOR(C199,B200),256)*16777216+_xlfn.BITXOR(C199,B200)*403,4294967296)</f>
        <v>0</v>
      </c>
    </row>
    <row r="201" spans="1:3">
      <c r="B201">
        <f>_xlfn.UNICODE(MID($B$176,25,1))</f>
        <v>0</v>
      </c>
      <c r="C201">
        <f>MOD(MOD(_xlfn.BITXOR(C200,B201),256)*16777216+_xlfn.BITXOR(C200,B201)*403,4294967296)</f>
        <v>0</v>
      </c>
    </row>
    <row r="202" spans="1:3">
      <c r="B202">
        <f>_xlfn.UNICODE(MID($B$176,26,1))</f>
        <v>0</v>
      </c>
      <c r="C202">
        <f>MOD(MOD(_xlfn.BITXOR(C201,B202),256)*16777216+_xlfn.BITXOR(C201,B202)*403,4294967296)</f>
        <v>0</v>
      </c>
    </row>
    <row r="203" spans="1:3">
      <c r="B203">
        <f>_xlfn.UNICODE(MID($B$176,27,1))</f>
        <v>0</v>
      </c>
      <c r="C203">
        <f>MOD(MOD(_xlfn.BITXOR(C202,B203),256)*16777216+_xlfn.BITXOR(C202,B203)*403,4294967296)</f>
        <v>0</v>
      </c>
    </row>
    <row r="204" spans="1:3">
      <c r="B204">
        <f>_xlfn.UNICODE(MID($B$176,28,1))</f>
        <v>0</v>
      </c>
      <c r="C204">
        <f>MOD(MOD(_xlfn.BITXOR(C203,B204),256)*16777216+_xlfn.BITXOR(C203,B204)*403,4294967296)</f>
        <v>0</v>
      </c>
    </row>
    <row r="205" spans="1:3">
      <c r="B205">
        <f>_xlfn.UNICODE(MID($B$176,29,1))</f>
        <v>0</v>
      </c>
      <c r="C205">
        <f>MOD(MOD(_xlfn.BITXOR(C204,B205),256)*16777216+_xlfn.BITXOR(C204,B205)*403,4294967296)</f>
        <v>0</v>
      </c>
    </row>
    <row r="206" spans="1:3">
      <c r="A206" t="s">
        <v>132</v>
      </c>
      <c r="B206">
        <f>"ape"&amp;Calcul!$B$82&amp;8</f>
        <v>0</v>
      </c>
    </row>
    <row r="207" spans="1:3">
      <c r="B207">
        <f>_xlfn.UNICODE(MID($B$206,1,1))</f>
        <v>0</v>
      </c>
      <c r="C207">
        <f>MOD(MOD(_xlfn.BITXOR(C205,B207),256)*16777216+_xlfn.BITXOR(C205,B207)*403,4294967296)</f>
        <v>0</v>
      </c>
    </row>
    <row r="208" spans="1:3">
      <c r="B208">
        <f>_xlfn.UNICODE(MID($B$206,2,1))</f>
        <v>0</v>
      </c>
      <c r="C208">
        <f>MOD(MOD(_xlfn.BITXOR(C207,B208),256)*16777216+_xlfn.BITXOR(C207,B208)*403,4294967296)</f>
        <v>0</v>
      </c>
    </row>
    <row r="209" spans="2:3">
      <c r="B209">
        <f>_xlfn.UNICODE(MID($B$206,3,1))</f>
        <v>0</v>
      </c>
      <c r="C209">
        <f>MOD(MOD(_xlfn.BITXOR(C208,B209),256)*16777216+_xlfn.BITXOR(C208,B209)*403,4294967296)</f>
        <v>0</v>
      </c>
    </row>
    <row r="210" spans="2:3">
      <c r="B210">
        <f>_xlfn.UNICODE(MID($B$206,4,1))</f>
        <v>0</v>
      </c>
      <c r="C210">
        <f>MOD(MOD(_xlfn.BITXOR(C209,B210),256)*16777216+_xlfn.BITXOR(C209,B210)*403,4294967296)</f>
        <v>0</v>
      </c>
    </row>
    <row r="211" spans="2:3">
      <c r="B211">
        <f>_xlfn.UNICODE(MID($B$206,5,1))</f>
        <v>0</v>
      </c>
      <c r="C211">
        <f>MOD(MOD(_xlfn.BITXOR(C210,B211),256)*16777216+_xlfn.BITXOR(C210,B211)*403,4294967296)</f>
        <v>0</v>
      </c>
    </row>
    <row r="212" spans="2:3">
      <c r="B212">
        <f>_xlfn.UNICODE(MID($B$206,6,1))</f>
        <v>0</v>
      </c>
      <c r="C212">
        <f>MOD(MOD(_xlfn.BITXOR(C211,B212),256)*16777216+_xlfn.BITXOR(C211,B212)*403,4294967296)</f>
        <v>0</v>
      </c>
    </row>
    <row r="213" spans="2:3">
      <c r="B213">
        <f>_xlfn.UNICODE(MID($B$206,7,1))</f>
        <v>0</v>
      </c>
      <c r="C213">
        <f>MOD(MOD(_xlfn.BITXOR(C212,B213),256)*16777216+_xlfn.BITXOR(C212,B213)*403,4294967296)</f>
        <v>0</v>
      </c>
    </row>
    <row r="214" spans="2:3">
      <c r="B214">
        <f>_xlfn.UNICODE(MID($B$206,8,1))</f>
        <v>0</v>
      </c>
      <c r="C214">
        <f>MOD(MOD(_xlfn.BITXOR(C213,B214),256)*16777216+_xlfn.BITXOR(C213,B214)*403,4294967296)</f>
        <v>0</v>
      </c>
    </row>
    <row r="215" spans="2:3">
      <c r="B215">
        <f>_xlfn.UNICODE(MID($B$206,9,1))</f>
        <v>0</v>
      </c>
      <c r="C215">
        <f>MOD(MOD(_xlfn.BITXOR(C214,B215),256)*16777216+_xlfn.BITXOR(C214,B215)*403,4294967296)</f>
        <v>0</v>
      </c>
    </row>
    <row r="216" spans="2:3">
      <c r="B216">
        <f>_xlfn.UNICODE(MID($B$206,10,1))</f>
        <v>0</v>
      </c>
      <c r="C216">
        <f>MOD(MOD(_xlfn.BITXOR(C215,B216),256)*16777216+_xlfn.BITXOR(C215,B216)*403,4294967296)</f>
        <v>0</v>
      </c>
    </row>
    <row r="217" spans="2:3">
      <c r="B217">
        <f>_xlfn.UNICODE(MID($B$206,11,1))</f>
        <v>0</v>
      </c>
      <c r="C217">
        <f>MOD(MOD(_xlfn.BITXOR(C216,B217),256)*16777216+_xlfn.BITXOR(C216,B217)*403,4294967296)</f>
        <v>0</v>
      </c>
    </row>
    <row r="218" spans="2:3">
      <c r="B218">
        <f>_xlfn.UNICODE(MID($B$206,12,1))</f>
        <v>0</v>
      </c>
      <c r="C218">
        <f>MOD(MOD(_xlfn.BITXOR(C217,B218),256)*16777216+_xlfn.BITXOR(C217,B218)*403,4294967296)</f>
        <v>0</v>
      </c>
    </row>
    <row r="219" spans="2:3">
      <c r="B219">
        <f>_xlfn.UNICODE(MID($B$206,13,1))</f>
        <v>0</v>
      </c>
      <c r="C219">
        <f>MOD(MOD(_xlfn.BITXOR(C218,B219),256)*16777216+_xlfn.BITXOR(C218,B219)*403,4294967296)</f>
        <v>0</v>
      </c>
    </row>
    <row r="220" spans="2:3">
      <c r="B220">
        <f>_xlfn.UNICODE(MID($B$206,14,1))</f>
        <v>0</v>
      </c>
      <c r="C220">
        <f>MOD(MOD(_xlfn.BITXOR(C219,B220),256)*16777216+_xlfn.BITXOR(C219,B220)*403,4294967296)</f>
        <v>0</v>
      </c>
    </row>
    <row r="221" spans="2:3">
      <c r="B221">
        <f>_xlfn.UNICODE(MID($B$206,15,1))</f>
        <v>0</v>
      </c>
      <c r="C221">
        <f>MOD(MOD(_xlfn.BITXOR(C220,B221),256)*16777216+_xlfn.BITXOR(C220,B221)*403,4294967296)</f>
        <v>0</v>
      </c>
    </row>
    <row r="222" spans="2:3">
      <c r="B222">
        <f>_xlfn.UNICODE(MID($B$206,16,1))</f>
        <v>0</v>
      </c>
      <c r="C222">
        <f>MOD(MOD(_xlfn.BITXOR(C221,B222),256)*16777216+_xlfn.BITXOR(C221,B222)*403,4294967296)</f>
        <v>0</v>
      </c>
    </row>
    <row r="223" spans="2:3">
      <c r="B223">
        <f>_xlfn.UNICODE(MID($B$206,17,1))</f>
        <v>0</v>
      </c>
      <c r="C223">
        <f>MOD(MOD(_xlfn.BITXOR(C222,B223),256)*16777216+_xlfn.BITXOR(C222,B223)*403,4294967296)</f>
        <v>0</v>
      </c>
    </row>
    <row r="224" spans="2:3">
      <c r="B224">
        <f>_xlfn.UNICODE(MID($B$206,18,1))</f>
        <v>0</v>
      </c>
      <c r="C224">
        <f>MOD(MOD(_xlfn.BITXOR(C223,B224),256)*16777216+_xlfn.BITXOR(C223,B224)*403,4294967296)</f>
        <v>0</v>
      </c>
    </row>
    <row r="225" spans="1:3">
      <c r="B225">
        <f>_xlfn.UNICODE(MID($B$206,19,1))</f>
        <v>0</v>
      </c>
      <c r="C225">
        <f>MOD(MOD(_xlfn.BITXOR(C224,B225),256)*16777216+_xlfn.BITXOR(C224,B225)*403,4294967296)</f>
        <v>0</v>
      </c>
    </row>
    <row r="226" spans="1:3">
      <c r="B226">
        <f>_xlfn.UNICODE(MID($B$206,20,1))</f>
        <v>0</v>
      </c>
      <c r="C226">
        <f>MOD(MOD(_xlfn.BITXOR(C225,B226),256)*16777216+_xlfn.BITXOR(C225,B226)*403,4294967296)</f>
        <v>0</v>
      </c>
    </row>
    <row r="227" spans="1:3">
      <c r="B227">
        <f>_xlfn.UNICODE(MID($B$206,21,1))</f>
        <v>0</v>
      </c>
      <c r="C227">
        <f>MOD(MOD(_xlfn.BITXOR(C226,B227),256)*16777216+_xlfn.BITXOR(C226,B227)*403,4294967296)</f>
        <v>0</v>
      </c>
    </row>
    <row r="228" spans="1:3">
      <c r="B228">
        <f>_xlfn.UNICODE(MID($B$206,22,1))</f>
        <v>0</v>
      </c>
      <c r="C228">
        <f>MOD(MOD(_xlfn.BITXOR(C227,B228),256)*16777216+_xlfn.BITXOR(C227,B228)*403,4294967296)</f>
        <v>0</v>
      </c>
    </row>
    <row r="229" spans="1:3">
      <c r="B229">
        <f>_xlfn.UNICODE(MID($B$206,23,1))</f>
        <v>0</v>
      </c>
      <c r="C229">
        <f>MOD(MOD(_xlfn.BITXOR(C228,B229),256)*16777216+_xlfn.BITXOR(C228,B229)*403,4294967296)</f>
        <v>0</v>
      </c>
    </row>
    <row r="230" spans="1:3">
      <c r="B230">
        <f>_xlfn.UNICODE(MID($B$206,24,1))</f>
        <v>0</v>
      </c>
      <c r="C230">
        <f>MOD(MOD(_xlfn.BITXOR(C229,B230),256)*16777216+_xlfn.BITXOR(C229,B230)*403,4294967296)</f>
        <v>0</v>
      </c>
    </row>
    <row r="231" spans="1:3">
      <c r="B231">
        <f>_xlfn.UNICODE(MID($B$206,25,1))</f>
        <v>0</v>
      </c>
      <c r="C231">
        <f>MOD(MOD(_xlfn.BITXOR(C230,B231),256)*16777216+_xlfn.BITXOR(C230,B231)*403,4294967296)</f>
        <v>0</v>
      </c>
    </row>
    <row r="232" spans="1:3">
      <c r="B232">
        <f>_xlfn.UNICODE(MID($B$206,26,1))</f>
        <v>0</v>
      </c>
      <c r="C232">
        <f>MOD(MOD(_xlfn.BITXOR(C231,B232),256)*16777216+_xlfn.BITXOR(C231,B232)*403,4294967296)</f>
        <v>0</v>
      </c>
    </row>
    <row r="233" spans="1:3">
      <c r="B233">
        <f>_xlfn.UNICODE(MID($B$206,27,1))</f>
        <v>0</v>
      </c>
      <c r="C233">
        <f>MOD(MOD(_xlfn.BITXOR(C232,B233),256)*16777216+_xlfn.BITXOR(C232,B233)*403,4294967296)</f>
        <v>0</v>
      </c>
    </row>
    <row r="234" spans="1:3">
      <c r="B234">
        <f>_xlfn.UNICODE(MID($B$206,28,1))</f>
        <v>0</v>
      </c>
      <c r="C234">
        <f>MOD(MOD(_xlfn.BITXOR(C233,B234),256)*16777216+_xlfn.BITXOR(C233,B234)*403,4294967296)</f>
        <v>0</v>
      </c>
    </row>
    <row r="235" spans="1:3">
      <c r="B235">
        <f>_xlfn.UNICODE(MID($B$206,29,1))</f>
        <v>0</v>
      </c>
      <c r="C235">
        <f>MOD(MOD(_xlfn.BITXOR(C234,B235),256)*16777216+_xlfn.BITXOR(C234,B235)*403,4294967296)</f>
        <v>0</v>
      </c>
    </row>
    <row r="236" spans="1:3">
      <c r="A236" t="s">
        <v>133</v>
      </c>
      <c r="B236">
        <f>"ape"&amp;Calcul!$B$82&amp;10</f>
        <v>0</v>
      </c>
    </row>
    <row r="237" spans="1:3">
      <c r="B237">
        <f>_xlfn.UNICODE(MID($B$236,1,1))</f>
        <v>0</v>
      </c>
      <c r="C237">
        <f>MOD(MOD(_xlfn.BITXOR(C235,B237),256)*16777216+_xlfn.BITXOR(C235,B237)*403,4294967296)</f>
        <v>0</v>
      </c>
    </row>
    <row r="238" spans="1:3">
      <c r="B238">
        <f>_xlfn.UNICODE(MID($B$236,2,1))</f>
        <v>0</v>
      </c>
      <c r="C238">
        <f>MOD(MOD(_xlfn.BITXOR(C237,B238),256)*16777216+_xlfn.BITXOR(C237,B238)*403,4294967296)</f>
        <v>0</v>
      </c>
    </row>
    <row r="239" spans="1:3">
      <c r="B239">
        <f>_xlfn.UNICODE(MID($B$236,3,1))</f>
        <v>0</v>
      </c>
      <c r="C239">
        <f>MOD(MOD(_xlfn.BITXOR(C238,B239),256)*16777216+_xlfn.BITXOR(C238,B239)*403,4294967296)</f>
        <v>0</v>
      </c>
    </row>
    <row r="240" spans="1:3">
      <c r="B240">
        <f>_xlfn.UNICODE(MID($B$236,4,1))</f>
        <v>0</v>
      </c>
      <c r="C240">
        <f>MOD(MOD(_xlfn.BITXOR(C239,B240),256)*16777216+_xlfn.BITXOR(C239,B240)*403,4294967296)</f>
        <v>0</v>
      </c>
    </row>
    <row r="241" spans="2:3">
      <c r="B241">
        <f>_xlfn.UNICODE(MID($B$236,5,1))</f>
        <v>0</v>
      </c>
      <c r="C241">
        <f>MOD(MOD(_xlfn.BITXOR(C240,B241),256)*16777216+_xlfn.BITXOR(C240,B241)*403,4294967296)</f>
        <v>0</v>
      </c>
    </row>
    <row r="242" spans="2:3">
      <c r="B242">
        <f>_xlfn.UNICODE(MID($B$236,6,1))</f>
        <v>0</v>
      </c>
      <c r="C242">
        <f>MOD(MOD(_xlfn.BITXOR(C241,B242),256)*16777216+_xlfn.BITXOR(C241,B242)*403,4294967296)</f>
        <v>0</v>
      </c>
    </row>
    <row r="243" spans="2:3">
      <c r="B243">
        <f>_xlfn.UNICODE(MID($B$236,7,1))</f>
        <v>0</v>
      </c>
      <c r="C243">
        <f>MOD(MOD(_xlfn.BITXOR(C242,B243),256)*16777216+_xlfn.BITXOR(C242,B243)*403,4294967296)</f>
        <v>0</v>
      </c>
    </row>
    <row r="244" spans="2:3">
      <c r="B244">
        <f>_xlfn.UNICODE(MID($B$236,8,1))</f>
        <v>0</v>
      </c>
      <c r="C244">
        <f>MOD(MOD(_xlfn.BITXOR(C243,B244),256)*16777216+_xlfn.BITXOR(C243,B244)*403,4294967296)</f>
        <v>0</v>
      </c>
    </row>
    <row r="245" spans="2:3">
      <c r="B245">
        <f>_xlfn.UNICODE(MID($B$236,9,1))</f>
        <v>0</v>
      </c>
      <c r="C245">
        <f>MOD(MOD(_xlfn.BITXOR(C244,B245),256)*16777216+_xlfn.BITXOR(C244,B245)*403,4294967296)</f>
        <v>0</v>
      </c>
    </row>
    <row r="246" spans="2:3">
      <c r="B246">
        <f>_xlfn.UNICODE(MID($B$236,10,1))</f>
        <v>0</v>
      </c>
      <c r="C246">
        <f>MOD(MOD(_xlfn.BITXOR(C245,B246),256)*16777216+_xlfn.BITXOR(C245,B246)*403,4294967296)</f>
        <v>0</v>
      </c>
    </row>
    <row r="247" spans="2:3">
      <c r="B247">
        <f>_xlfn.UNICODE(MID($B$236,11,1))</f>
        <v>0</v>
      </c>
      <c r="C247">
        <f>MOD(MOD(_xlfn.BITXOR(C246,B247),256)*16777216+_xlfn.BITXOR(C246,B247)*403,4294967296)</f>
        <v>0</v>
      </c>
    </row>
    <row r="248" spans="2:3">
      <c r="B248">
        <f>_xlfn.UNICODE(MID($B$236,12,1))</f>
        <v>0</v>
      </c>
      <c r="C248">
        <f>MOD(MOD(_xlfn.BITXOR(C247,B248),256)*16777216+_xlfn.BITXOR(C247,B248)*403,4294967296)</f>
        <v>0</v>
      </c>
    </row>
    <row r="249" spans="2:3">
      <c r="B249">
        <f>_xlfn.UNICODE(MID($B$236,13,1))</f>
        <v>0</v>
      </c>
      <c r="C249">
        <f>MOD(MOD(_xlfn.BITXOR(C248,B249),256)*16777216+_xlfn.BITXOR(C248,B249)*403,4294967296)</f>
        <v>0</v>
      </c>
    </row>
    <row r="250" spans="2:3">
      <c r="B250">
        <f>_xlfn.UNICODE(MID($B$236,14,1))</f>
        <v>0</v>
      </c>
      <c r="C250">
        <f>MOD(MOD(_xlfn.BITXOR(C249,B250),256)*16777216+_xlfn.BITXOR(C249,B250)*403,4294967296)</f>
        <v>0</v>
      </c>
    </row>
    <row r="251" spans="2:3">
      <c r="B251">
        <f>_xlfn.UNICODE(MID($B$236,15,1))</f>
        <v>0</v>
      </c>
      <c r="C251">
        <f>MOD(MOD(_xlfn.BITXOR(C250,B251),256)*16777216+_xlfn.BITXOR(C250,B251)*403,4294967296)</f>
        <v>0</v>
      </c>
    </row>
    <row r="252" spans="2:3">
      <c r="B252">
        <f>_xlfn.UNICODE(MID($B$236,16,1))</f>
        <v>0</v>
      </c>
      <c r="C252">
        <f>MOD(MOD(_xlfn.BITXOR(C251,B252),256)*16777216+_xlfn.BITXOR(C251,B252)*403,4294967296)</f>
        <v>0</v>
      </c>
    </row>
    <row r="253" spans="2:3">
      <c r="B253">
        <f>_xlfn.UNICODE(MID($B$236,17,1))</f>
        <v>0</v>
      </c>
      <c r="C253">
        <f>MOD(MOD(_xlfn.BITXOR(C252,B253),256)*16777216+_xlfn.BITXOR(C252,B253)*403,4294967296)</f>
        <v>0</v>
      </c>
    </row>
    <row r="254" spans="2:3">
      <c r="B254">
        <f>_xlfn.UNICODE(MID($B$236,18,1))</f>
        <v>0</v>
      </c>
      <c r="C254">
        <f>MOD(MOD(_xlfn.BITXOR(C253,B254),256)*16777216+_xlfn.BITXOR(C253,B254)*403,4294967296)</f>
        <v>0</v>
      </c>
    </row>
    <row r="255" spans="2:3">
      <c r="B255">
        <f>_xlfn.UNICODE(MID($B$236,19,1))</f>
        <v>0</v>
      </c>
      <c r="C255">
        <f>MOD(MOD(_xlfn.BITXOR(C254,B255),256)*16777216+_xlfn.BITXOR(C254,B255)*403,4294967296)</f>
        <v>0</v>
      </c>
    </row>
    <row r="256" spans="2:3">
      <c r="B256">
        <f>_xlfn.UNICODE(MID($B$236,20,1))</f>
        <v>0</v>
      </c>
      <c r="C256">
        <f>MOD(MOD(_xlfn.BITXOR(C255,B256),256)*16777216+_xlfn.BITXOR(C255,B256)*403,4294967296)</f>
        <v>0</v>
      </c>
    </row>
    <row r="257" spans="1:3">
      <c r="B257">
        <f>_xlfn.UNICODE(MID($B$236,21,1))</f>
        <v>0</v>
      </c>
      <c r="C257">
        <f>MOD(MOD(_xlfn.BITXOR(C256,B257),256)*16777216+_xlfn.BITXOR(C256,B257)*403,4294967296)</f>
        <v>0</v>
      </c>
    </row>
    <row r="258" spans="1:3">
      <c r="B258">
        <f>_xlfn.UNICODE(MID($B$236,22,1))</f>
        <v>0</v>
      </c>
      <c r="C258">
        <f>MOD(MOD(_xlfn.BITXOR(C257,B258),256)*16777216+_xlfn.BITXOR(C257,B258)*403,4294967296)</f>
        <v>0</v>
      </c>
    </row>
    <row r="259" spans="1:3">
      <c r="B259">
        <f>_xlfn.UNICODE(MID($B$236,23,1))</f>
        <v>0</v>
      </c>
      <c r="C259">
        <f>MOD(MOD(_xlfn.BITXOR(C258,B259),256)*16777216+_xlfn.BITXOR(C258,B259)*403,4294967296)</f>
        <v>0</v>
      </c>
    </row>
    <row r="260" spans="1:3">
      <c r="B260">
        <f>_xlfn.UNICODE(MID($B$236,24,1))</f>
        <v>0</v>
      </c>
      <c r="C260">
        <f>MOD(MOD(_xlfn.BITXOR(C259,B260),256)*16777216+_xlfn.BITXOR(C259,B260)*403,4294967296)</f>
        <v>0</v>
      </c>
    </row>
    <row r="261" spans="1:3">
      <c r="B261">
        <f>_xlfn.UNICODE(MID($B$236,25,1))</f>
        <v>0</v>
      </c>
      <c r="C261">
        <f>MOD(MOD(_xlfn.BITXOR(C260,B261),256)*16777216+_xlfn.BITXOR(C260,B261)*403,4294967296)</f>
        <v>0</v>
      </c>
    </row>
    <row r="262" spans="1:3">
      <c r="B262">
        <f>_xlfn.UNICODE(MID($B$236,26,1))</f>
        <v>0</v>
      </c>
      <c r="C262">
        <f>MOD(MOD(_xlfn.BITXOR(C261,B262),256)*16777216+_xlfn.BITXOR(C261,B262)*403,4294967296)</f>
        <v>0</v>
      </c>
    </row>
    <row r="263" spans="1:3">
      <c r="B263">
        <f>_xlfn.UNICODE(MID($B$236,27,1))</f>
        <v>0</v>
      </c>
      <c r="C263">
        <f>MOD(MOD(_xlfn.BITXOR(C262,B263),256)*16777216+_xlfn.BITXOR(C262,B263)*403,4294967296)</f>
        <v>0</v>
      </c>
    </row>
    <row r="264" spans="1:3">
      <c r="B264">
        <f>_xlfn.UNICODE(MID($B$236,28,1))</f>
        <v>0</v>
      </c>
      <c r="C264">
        <f>MOD(MOD(_xlfn.BITXOR(C263,B264),256)*16777216+_xlfn.BITXOR(C263,B264)*403,4294967296)</f>
        <v>0</v>
      </c>
    </row>
    <row r="265" spans="1:3">
      <c r="B265">
        <f>_xlfn.UNICODE(MID($B$236,29,1))</f>
        <v>0</v>
      </c>
      <c r="C265">
        <f>MOD(MOD(_xlfn.BITXOR(C264,B265),256)*16777216+_xlfn.BITXOR(C264,B265)*403,4294967296)</f>
        <v>0</v>
      </c>
    </row>
    <row r="266" spans="1:3">
      <c r="B266">
        <f>_xlfn.UNICODE(MID($B$236,30,1))</f>
        <v>0</v>
      </c>
      <c r="C266">
        <f>MOD(MOD(_xlfn.BITXOR(C265,B266),256)*16777216+_xlfn.BITXOR(C265,B266)*403,4294967296)</f>
        <v>0</v>
      </c>
    </row>
    <row r="267" spans="1:3">
      <c r="A267" t="s">
        <v>134</v>
      </c>
      <c r="B267">
        <f>"ape"&amp;Calcul!$B$82&amp;12</f>
        <v>0</v>
      </c>
    </row>
    <row r="268" spans="1:3">
      <c r="B268">
        <f>_xlfn.UNICODE(MID($B$267,1,1))</f>
        <v>0</v>
      </c>
      <c r="C268">
        <f>MOD(MOD(_xlfn.BITXOR(C266,B268),256)*16777216+_xlfn.BITXOR(C266,B268)*403,4294967296)</f>
        <v>0</v>
      </c>
    </row>
    <row r="269" spans="1:3">
      <c r="B269">
        <f>_xlfn.UNICODE(MID($B$267,2,1))</f>
        <v>0</v>
      </c>
      <c r="C269">
        <f>MOD(MOD(_xlfn.BITXOR(C268,B269),256)*16777216+_xlfn.BITXOR(C268,B269)*403,4294967296)</f>
        <v>0</v>
      </c>
    </row>
    <row r="270" spans="1:3">
      <c r="B270">
        <f>_xlfn.UNICODE(MID($B$267,3,1))</f>
        <v>0</v>
      </c>
      <c r="C270">
        <f>MOD(MOD(_xlfn.BITXOR(C269,B270),256)*16777216+_xlfn.BITXOR(C269,B270)*403,4294967296)</f>
        <v>0</v>
      </c>
    </row>
    <row r="271" spans="1:3">
      <c r="B271">
        <f>_xlfn.UNICODE(MID($B$267,4,1))</f>
        <v>0</v>
      </c>
      <c r="C271">
        <f>MOD(MOD(_xlfn.BITXOR(C270,B271),256)*16777216+_xlfn.BITXOR(C270,B271)*403,4294967296)</f>
        <v>0</v>
      </c>
    </row>
    <row r="272" spans="1:3">
      <c r="B272">
        <f>_xlfn.UNICODE(MID($B$267,5,1))</f>
        <v>0</v>
      </c>
      <c r="C272">
        <f>MOD(MOD(_xlfn.BITXOR(C271,B272),256)*16777216+_xlfn.BITXOR(C271,B272)*403,4294967296)</f>
        <v>0</v>
      </c>
    </row>
    <row r="273" spans="2:3">
      <c r="B273">
        <f>_xlfn.UNICODE(MID($B$267,6,1))</f>
        <v>0</v>
      </c>
      <c r="C273">
        <f>MOD(MOD(_xlfn.BITXOR(C272,B273),256)*16777216+_xlfn.BITXOR(C272,B273)*403,4294967296)</f>
        <v>0</v>
      </c>
    </row>
    <row r="274" spans="2:3">
      <c r="B274">
        <f>_xlfn.UNICODE(MID($B$267,7,1))</f>
        <v>0</v>
      </c>
      <c r="C274">
        <f>MOD(MOD(_xlfn.BITXOR(C273,B274),256)*16777216+_xlfn.BITXOR(C273,B274)*403,4294967296)</f>
        <v>0</v>
      </c>
    </row>
    <row r="275" spans="2:3">
      <c r="B275">
        <f>_xlfn.UNICODE(MID($B$267,8,1))</f>
        <v>0</v>
      </c>
      <c r="C275">
        <f>MOD(MOD(_xlfn.BITXOR(C274,B275),256)*16777216+_xlfn.BITXOR(C274,B275)*403,4294967296)</f>
        <v>0</v>
      </c>
    </row>
    <row r="276" spans="2:3">
      <c r="B276">
        <f>_xlfn.UNICODE(MID($B$267,9,1))</f>
        <v>0</v>
      </c>
      <c r="C276">
        <f>MOD(MOD(_xlfn.BITXOR(C275,B276),256)*16777216+_xlfn.BITXOR(C275,B276)*403,4294967296)</f>
        <v>0</v>
      </c>
    </row>
    <row r="277" spans="2:3">
      <c r="B277">
        <f>_xlfn.UNICODE(MID($B$267,10,1))</f>
        <v>0</v>
      </c>
      <c r="C277">
        <f>MOD(MOD(_xlfn.BITXOR(C276,B277),256)*16777216+_xlfn.BITXOR(C276,B277)*403,4294967296)</f>
        <v>0</v>
      </c>
    </row>
    <row r="278" spans="2:3">
      <c r="B278">
        <f>_xlfn.UNICODE(MID($B$267,11,1))</f>
        <v>0</v>
      </c>
      <c r="C278">
        <f>MOD(MOD(_xlfn.BITXOR(C277,B278),256)*16777216+_xlfn.BITXOR(C277,B278)*403,4294967296)</f>
        <v>0</v>
      </c>
    </row>
    <row r="279" spans="2:3">
      <c r="B279">
        <f>_xlfn.UNICODE(MID($B$267,12,1))</f>
        <v>0</v>
      </c>
      <c r="C279">
        <f>MOD(MOD(_xlfn.BITXOR(C278,B279),256)*16777216+_xlfn.BITXOR(C278,B279)*403,4294967296)</f>
        <v>0</v>
      </c>
    </row>
    <row r="280" spans="2:3">
      <c r="B280">
        <f>_xlfn.UNICODE(MID($B$267,13,1))</f>
        <v>0</v>
      </c>
      <c r="C280">
        <f>MOD(MOD(_xlfn.BITXOR(C279,B280),256)*16777216+_xlfn.BITXOR(C279,B280)*403,4294967296)</f>
        <v>0</v>
      </c>
    </row>
    <row r="281" spans="2:3">
      <c r="B281">
        <f>_xlfn.UNICODE(MID($B$267,14,1))</f>
        <v>0</v>
      </c>
      <c r="C281">
        <f>MOD(MOD(_xlfn.BITXOR(C280,B281),256)*16777216+_xlfn.BITXOR(C280,B281)*403,4294967296)</f>
        <v>0</v>
      </c>
    </row>
    <row r="282" spans="2:3">
      <c r="B282">
        <f>_xlfn.UNICODE(MID($B$267,15,1))</f>
        <v>0</v>
      </c>
      <c r="C282">
        <f>MOD(MOD(_xlfn.BITXOR(C281,B282),256)*16777216+_xlfn.BITXOR(C281,B282)*403,4294967296)</f>
        <v>0</v>
      </c>
    </row>
    <row r="283" spans="2:3">
      <c r="B283">
        <f>_xlfn.UNICODE(MID($B$267,16,1))</f>
        <v>0</v>
      </c>
      <c r="C283">
        <f>MOD(MOD(_xlfn.BITXOR(C282,B283),256)*16777216+_xlfn.BITXOR(C282,B283)*403,4294967296)</f>
        <v>0</v>
      </c>
    </row>
    <row r="284" spans="2:3">
      <c r="B284">
        <f>_xlfn.UNICODE(MID($B$267,17,1))</f>
        <v>0</v>
      </c>
      <c r="C284">
        <f>MOD(MOD(_xlfn.BITXOR(C283,B284),256)*16777216+_xlfn.BITXOR(C283,B284)*403,4294967296)</f>
        <v>0</v>
      </c>
    </row>
    <row r="285" spans="2:3">
      <c r="B285">
        <f>_xlfn.UNICODE(MID($B$267,18,1))</f>
        <v>0</v>
      </c>
      <c r="C285">
        <f>MOD(MOD(_xlfn.BITXOR(C284,B285),256)*16777216+_xlfn.BITXOR(C284,B285)*403,4294967296)</f>
        <v>0</v>
      </c>
    </row>
    <row r="286" spans="2:3">
      <c r="B286">
        <f>_xlfn.UNICODE(MID($B$267,19,1))</f>
        <v>0</v>
      </c>
      <c r="C286">
        <f>MOD(MOD(_xlfn.BITXOR(C285,B286),256)*16777216+_xlfn.BITXOR(C285,B286)*403,4294967296)</f>
        <v>0</v>
      </c>
    </row>
    <row r="287" spans="2:3">
      <c r="B287">
        <f>_xlfn.UNICODE(MID($B$267,20,1))</f>
        <v>0</v>
      </c>
      <c r="C287">
        <f>MOD(MOD(_xlfn.BITXOR(C286,B287),256)*16777216+_xlfn.BITXOR(C286,B287)*403,4294967296)</f>
        <v>0</v>
      </c>
    </row>
    <row r="288" spans="2:3">
      <c r="B288">
        <f>_xlfn.UNICODE(MID($B$267,21,1))</f>
        <v>0</v>
      </c>
      <c r="C288">
        <f>MOD(MOD(_xlfn.BITXOR(C287,B288),256)*16777216+_xlfn.BITXOR(C287,B288)*403,4294967296)</f>
        <v>0</v>
      </c>
    </row>
    <row r="289" spans="1:3">
      <c r="B289">
        <f>_xlfn.UNICODE(MID($B$267,22,1))</f>
        <v>0</v>
      </c>
      <c r="C289">
        <f>MOD(MOD(_xlfn.BITXOR(C288,B289),256)*16777216+_xlfn.BITXOR(C288,B289)*403,4294967296)</f>
        <v>0</v>
      </c>
    </row>
    <row r="290" spans="1:3">
      <c r="B290">
        <f>_xlfn.UNICODE(MID($B$267,23,1))</f>
        <v>0</v>
      </c>
      <c r="C290">
        <f>MOD(MOD(_xlfn.BITXOR(C289,B290),256)*16777216+_xlfn.BITXOR(C289,B290)*403,4294967296)</f>
        <v>0</v>
      </c>
    </row>
    <row r="291" spans="1:3">
      <c r="B291">
        <f>_xlfn.UNICODE(MID($B$267,24,1))</f>
        <v>0</v>
      </c>
      <c r="C291">
        <f>MOD(MOD(_xlfn.BITXOR(C290,B291),256)*16777216+_xlfn.BITXOR(C290,B291)*403,4294967296)</f>
        <v>0</v>
      </c>
    </row>
    <row r="292" spans="1:3">
      <c r="B292">
        <f>_xlfn.UNICODE(MID($B$267,25,1))</f>
        <v>0</v>
      </c>
      <c r="C292">
        <f>MOD(MOD(_xlfn.BITXOR(C291,B292),256)*16777216+_xlfn.BITXOR(C291,B292)*403,4294967296)</f>
        <v>0</v>
      </c>
    </row>
    <row r="293" spans="1:3">
      <c r="B293">
        <f>_xlfn.UNICODE(MID($B$267,26,1))</f>
        <v>0</v>
      </c>
      <c r="C293">
        <f>MOD(MOD(_xlfn.BITXOR(C292,B293),256)*16777216+_xlfn.BITXOR(C292,B293)*403,4294967296)</f>
        <v>0</v>
      </c>
    </row>
    <row r="294" spans="1:3">
      <c r="B294">
        <f>_xlfn.UNICODE(MID($B$267,27,1))</f>
        <v>0</v>
      </c>
      <c r="C294">
        <f>MOD(MOD(_xlfn.BITXOR(C293,B294),256)*16777216+_xlfn.BITXOR(C293,B294)*403,4294967296)</f>
        <v>0</v>
      </c>
    </row>
    <row r="295" spans="1:3">
      <c r="B295">
        <f>_xlfn.UNICODE(MID($B$267,28,1))</f>
        <v>0</v>
      </c>
      <c r="C295">
        <f>MOD(MOD(_xlfn.BITXOR(C294,B295),256)*16777216+_xlfn.BITXOR(C294,B295)*403,4294967296)</f>
        <v>0</v>
      </c>
    </row>
    <row r="296" spans="1:3">
      <c r="B296">
        <f>_xlfn.UNICODE(MID($B$267,29,1))</f>
        <v>0</v>
      </c>
      <c r="C296">
        <f>MOD(MOD(_xlfn.BITXOR(C295,B296),256)*16777216+_xlfn.BITXOR(C295,B296)*403,4294967296)</f>
        <v>0</v>
      </c>
    </row>
    <row r="297" spans="1:3">
      <c r="B297">
        <f>_xlfn.UNICODE(MID($B$267,30,1))</f>
        <v>0</v>
      </c>
      <c r="C297">
        <f>MOD(MOD(_xlfn.BITXOR(C296,B297),256)*16777216+_xlfn.BITXOR(C296,B297)*403,4294967296)</f>
        <v>0</v>
      </c>
    </row>
    <row r="298" spans="1:3">
      <c r="A298" t="s">
        <v>135</v>
      </c>
      <c r="B298">
        <f>"ape"&amp;Calcul!$B$82&amp;14</f>
        <v>0</v>
      </c>
    </row>
    <row r="299" spans="1:3">
      <c r="B299">
        <f>_xlfn.UNICODE(MID($B$298,1,1))</f>
        <v>0</v>
      </c>
      <c r="C299">
        <f>MOD(MOD(_xlfn.BITXOR(C297,B299),256)*16777216+_xlfn.BITXOR(C297,B299)*403,4294967296)</f>
        <v>0</v>
      </c>
    </row>
    <row r="300" spans="1:3">
      <c r="B300">
        <f>_xlfn.UNICODE(MID($B$298,2,1))</f>
        <v>0</v>
      </c>
      <c r="C300">
        <f>MOD(MOD(_xlfn.BITXOR(C299,B300),256)*16777216+_xlfn.BITXOR(C299,B300)*403,4294967296)</f>
        <v>0</v>
      </c>
    </row>
    <row r="301" spans="1:3">
      <c r="B301">
        <f>_xlfn.UNICODE(MID($B$298,3,1))</f>
        <v>0</v>
      </c>
      <c r="C301">
        <f>MOD(MOD(_xlfn.BITXOR(C300,B301),256)*16777216+_xlfn.BITXOR(C300,B301)*403,4294967296)</f>
        <v>0</v>
      </c>
    </row>
    <row r="302" spans="1:3">
      <c r="B302">
        <f>_xlfn.UNICODE(MID($B$298,4,1))</f>
        <v>0</v>
      </c>
      <c r="C302">
        <f>MOD(MOD(_xlfn.BITXOR(C301,B302),256)*16777216+_xlfn.BITXOR(C301,B302)*403,4294967296)</f>
        <v>0</v>
      </c>
    </row>
    <row r="303" spans="1:3">
      <c r="B303">
        <f>_xlfn.UNICODE(MID($B$298,5,1))</f>
        <v>0</v>
      </c>
      <c r="C303">
        <f>MOD(MOD(_xlfn.BITXOR(C302,B303),256)*16777216+_xlfn.BITXOR(C302,B303)*403,4294967296)</f>
        <v>0</v>
      </c>
    </row>
    <row r="304" spans="1:3">
      <c r="B304">
        <f>_xlfn.UNICODE(MID($B$298,6,1))</f>
        <v>0</v>
      </c>
      <c r="C304">
        <f>MOD(MOD(_xlfn.BITXOR(C303,B304),256)*16777216+_xlfn.BITXOR(C303,B304)*403,4294967296)</f>
        <v>0</v>
      </c>
    </row>
    <row r="305" spans="2:3">
      <c r="B305">
        <f>_xlfn.UNICODE(MID($B$298,7,1))</f>
        <v>0</v>
      </c>
      <c r="C305">
        <f>MOD(MOD(_xlfn.BITXOR(C304,B305),256)*16777216+_xlfn.BITXOR(C304,B305)*403,4294967296)</f>
        <v>0</v>
      </c>
    </row>
    <row r="306" spans="2:3">
      <c r="B306">
        <f>_xlfn.UNICODE(MID($B$298,8,1))</f>
        <v>0</v>
      </c>
      <c r="C306">
        <f>MOD(MOD(_xlfn.BITXOR(C305,B306),256)*16777216+_xlfn.BITXOR(C305,B306)*403,4294967296)</f>
        <v>0</v>
      </c>
    </row>
    <row r="307" spans="2:3">
      <c r="B307">
        <f>_xlfn.UNICODE(MID($B$298,9,1))</f>
        <v>0</v>
      </c>
      <c r="C307">
        <f>MOD(MOD(_xlfn.BITXOR(C306,B307),256)*16777216+_xlfn.BITXOR(C306,B307)*403,4294967296)</f>
        <v>0</v>
      </c>
    </row>
    <row r="308" spans="2:3">
      <c r="B308">
        <f>_xlfn.UNICODE(MID($B$298,10,1))</f>
        <v>0</v>
      </c>
      <c r="C308">
        <f>MOD(MOD(_xlfn.BITXOR(C307,B308),256)*16777216+_xlfn.BITXOR(C307,B308)*403,4294967296)</f>
        <v>0</v>
      </c>
    </row>
    <row r="309" spans="2:3">
      <c r="B309">
        <f>_xlfn.UNICODE(MID($B$298,11,1))</f>
        <v>0</v>
      </c>
      <c r="C309">
        <f>MOD(MOD(_xlfn.BITXOR(C308,B309),256)*16777216+_xlfn.BITXOR(C308,B309)*403,4294967296)</f>
        <v>0</v>
      </c>
    </row>
    <row r="310" spans="2:3">
      <c r="B310">
        <f>_xlfn.UNICODE(MID($B$298,12,1))</f>
        <v>0</v>
      </c>
      <c r="C310">
        <f>MOD(MOD(_xlfn.BITXOR(C309,B310),256)*16777216+_xlfn.BITXOR(C309,B310)*403,4294967296)</f>
        <v>0</v>
      </c>
    </row>
    <row r="311" spans="2:3">
      <c r="B311">
        <f>_xlfn.UNICODE(MID($B$298,13,1))</f>
        <v>0</v>
      </c>
      <c r="C311">
        <f>MOD(MOD(_xlfn.BITXOR(C310,B311),256)*16777216+_xlfn.BITXOR(C310,B311)*403,4294967296)</f>
        <v>0</v>
      </c>
    </row>
    <row r="312" spans="2:3">
      <c r="B312">
        <f>_xlfn.UNICODE(MID($B$298,14,1))</f>
        <v>0</v>
      </c>
      <c r="C312">
        <f>MOD(MOD(_xlfn.BITXOR(C311,B312),256)*16777216+_xlfn.BITXOR(C311,B312)*403,4294967296)</f>
        <v>0</v>
      </c>
    </row>
    <row r="313" spans="2:3">
      <c r="B313">
        <f>_xlfn.UNICODE(MID($B$298,15,1))</f>
        <v>0</v>
      </c>
      <c r="C313">
        <f>MOD(MOD(_xlfn.BITXOR(C312,B313),256)*16777216+_xlfn.BITXOR(C312,B313)*403,4294967296)</f>
        <v>0</v>
      </c>
    </row>
    <row r="314" spans="2:3">
      <c r="B314">
        <f>_xlfn.UNICODE(MID($B$298,16,1))</f>
        <v>0</v>
      </c>
      <c r="C314">
        <f>MOD(MOD(_xlfn.BITXOR(C313,B314),256)*16777216+_xlfn.BITXOR(C313,B314)*403,4294967296)</f>
        <v>0</v>
      </c>
    </row>
    <row r="315" spans="2:3">
      <c r="B315">
        <f>_xlfn.UNICODE(MID($B$298,17,1))</f>
        <v>0</v>
      </c>
      <c r="C315">
        <f>MOD(MOD(_xlfn.BITXOR(C314,B315),256)*16777216+_xlfn.BITXOR(C314,B315)*403,4294967296)</f>
        <v>0</v>
      </c>
    </row>
    <row r="316" spans="2:3">
      <c r="B316">
        <f>_xlfn.UNICODE(MID($B$298,18,1))</f>
        <v>0</v>
      </c>
      <c r="C316">
        <f>MOD(MOD(_xlfn.BITXOR(C315,B316),256)*16777216+_xlfn.BITXOR(C315,B316)*403,4294967296)</f>
        <v>0</v>
      </c>
    </row>
    <row r="317" spans="2:3">
      <c r="B317">
        <f>_xlfn.UNICODE(MID($B$298,19,1))</f>
        <v>0</v>
      </c>
      <c r="C317">
        <f>MOD(MOD(_xlfn.BITXOR(C316,B317),256)*16777216+_xlfn.BITXOR(C316,B317)*403,4294967296)</f>
        <v>0</v>
      </c>
    </row>
    <row r="318" spans="2:3">
      <c r="B318">
        <f>_xlfn.UNICODE(MID($B$298,20,1))</f>
        <v>0</v>
      </c>
      <c r="C318">
        <f>MOD(MOD(_xlfn.BITXOR(C317,B318),256)*16777216+_xlfn.BITXOR(C317,B318)*403,4294967296)</f>
        <v>0</v>
      </c>
    </row>
    <row r="319" spans="2:3">
      <c r="B319">
        <f>_xlfn.UNICODE(MID($B$298,21,1))</f>
        <v>0</v>
      </c>
      <c r="C319">
        <f>MOD(MOD(_xlfn.BITXOR(C318,B319),256)*16777216+_xlfn.BITXOR(C318,B319)*403,4294967296)</f>
        <v>0</v>
      </c>
    </row>
    <row r="320" spans="2:3">
      <c r="B320">
        <f>_xlfn.UNICODE(MID($B$298,22,1))</f>
        <v>0</v>
      </c>
      <c r="C320">
        <f>MOD(MOD(_xlfn.BITXOR(C319,B320),256)*16777216+_xlfn.BITXOR(C319,B320)*403,4294967296)</f>
        <v>0</v>
      </c>
    </row>
    <row r="321" spans="1:3">
      <c r="B321">
        <f>_xlfn.UNICODE(MID($B$298,23,1))</f>
        <v>0</v>
      </c>
      <c r="C321">
        <f>MOD(MOD(_xlfn.BITXOR(C320,B321),256)*16777216+_xlfn.BITXOR(C320,B321)*403,4294967296)</f>
        <v>0</v>
      </c>
    </row>
    <row r="322" spans="1:3">
      <c r="B322">
        <f>_xlfn.UNICODE(MID($B$298,24,1))</f>
        <v>0</v>
      </c>
      <c r="C322">
        <f>MOD(MOD(_xlfn.BITXOR(C321,B322),256)*16777216+_xlfn.BITXOR(C321,B322)*403,4294967296)</f>
        <v>0</v>
      </c>
    </row>
    <row r="323" spans="1:3">
      <c r="B323">
        <f>_xlfn.UNICODE(MID($B$298,25,1))</f>
        <v>0</v>
      </c>
      <c r="C323">
        <f>MOD(MOD(_xlfn.BITXOR(C322,B323),256)*16777216+_xlfn.BITXOR(C322,B323)*403,4294967296)</f>
        <v>0</v>
      </c>
    </row>
    <row r="324" spans="1:3">
      <c r="B324">
        <f>_xlfn.UNICODE(MID($B$298,26,1))</f>
        <v>0</v>
      </c>
      <c r="C324">
        <f>MOD(MOD(_xlfn.BITXOR(C323,B324),256)*16777216+_xlfn.BITXOR(C323,B324)*403,4294967296)</f>
        <v>0</v>
      </c>
    </row>
    <row r="325" spans="1:3">
      <c r="B325">
        <f>_xlfn.UNICODE(MID($B$298,27,1))</f>
        <v>0</v>
      </c>
      <c r="C325">
        <f>MOD(MOD(_xlfn.BITXOR(C324,B325),256)*16777216+_xlfn.BITXOR(C324,B325)*403,4294967296)</f>
        <v>0</v>
      </c>
    </row>
    <row r="326" spans="1:3">
      <c r="B326">
        <f>_xlfn.UNICODE(MID($B$298,28,1))</f>
        <v>0</v>
      </c>
      <c r="C326">
        <f>MOD(MOD(_xlfn.BITXOR(C325,B326),256)*16777216+_xlfn.BITXOR(C325,B326)*403,4294967296)</f>
        <v>0</v>
      </c>
    </row>
    <row r="327" spans="1:3">
      <c r="B327">
        <f>_xlfn.UNICODE(MID($B$298,29,1))</f>
        <v>0</v>
      </c>
      <c r="C327">
        <f>MOD(MOD(_xlfn.BITXOR(C326,B327),256)*16777216+_xlfn.BITXOR(C326,B327)*403,4294967296)</f>
        <v>0</v>
      </c>
    </row>
    <row r="328" spans="1:3">
      <c r="B328">
        <f>_xlfn.UNICODE(MID($B$298,30,1))</f>
        <v>0</v>
      </c>
      <c r="C328">
        <f>MOD(MOD(_xlfn.BITXOR(C327,B328),256)*16777216+_xlfn.BITXOR(C327,B328)*403,4294967296)</f>
        <v>0</v>
      </c>
    </row>
    <row r="329" spans="1:3">
      <c r="A329" t="s">
        <v>136</v>
      </c>
      <c r="B329">
        <f>LEFT(MID('Paramètres'!$D$2,MOD(C115,32)+1,1)&amp;MID('Paramètres'!$D$2,MOD(INT(C115/32),32)+1,1)&amp;MID('Paramètres'!$D$2,MOD(C145,32)+1,1)&amp;MID('Paramètres'!$D$2,MOD(INT(C145/32),32)+1,1)&amp;MID('Paramètres'!$D$2,MOD(C175,32)+1,1)&amp;MID('Paramètres'!$D$2,MOD(INT(C175/32),32)+1,1)&amp;MID('Paramètres'!$D$2,MOD(C205,32)+1,1)&amp;MID('Paramètres'!$D$2,MOD(INT(C205/32),32)+1,1)&amp;MID('Paramètres'!$D$2,MOD(C235,32)+1,1)&amp;MID('Paramètres'!$D$2,MOD(INT(C235/32),32)+1,1)&amp;MID('Paramètres'!$D$2,MOD(C266,32)+1,1)&amp;MID('Paramètres'!$D$2,MOD(INT(C266/32),32)+1,1)&amp;MID('Paramètres'!$D$2,MOD(C297,32)+1,1)&amp;MID('Paramètres'!$D$2,MOD(INT(C297/32),32)+1,1)&amp;MID('Paramètres'!$D$2,MOD(C328,32)+1,1)&amp;MID('Paramètres'!$D$2,MOD(INT(C328/32),32)+1,1),15)</f>
        <v>0</v>
      </c>
    </row>
    <row r="331" spans="1:3">
      <c r="A331" s="50" t="s">
        <v>137</v>
      </c>
    </row>
    <row r="332" spans="1:3">
      <c r="A332" t="s">
        <v>128</v>
      </c>
      <c r="B332">
        <f>"dzi"&amp;Calcul!$B$82&amp;0</f>
        <v>0</v>
      </c>
    </row>
    <row r="333" spans="1:3">
      <c r="B333">
        <f>_xlfn.UNICODE(MID($B$332,1,1))</f>
        <v>0</v>
      </c>
      <c r="C333">
        <f>MOD(MOD(_xlfn.BITXOR(2166136261,B333),256)*16777216+_xlfn.BITXOR(2166136261,B333)*403,4294967296)</f>
        <v>0</v>
      </c>
    </row>
    <row r="334" spans="1:3">
      <c r="B334">
        <f>_xlfn.UNICODE(MID($B$332,2,1))</f>
        <v>0</v>
      </c>
      <c r="C334">
        <f>MOD(MOD(_xlfn.BITXOR(C333,B334),256)*16777216+_xlfn.BITXOR(C333,B334)*403,4294967296)</f>
        <v>0</v>
      </c>
    </row>
    <row r="335" spans="1:3">
      <c r="B335">
        <f>_xlfn.UNICODE(MID($B$332,3,1))</f>
        <v>0</v>
      </c>
      <c r="C335">
        <f>MOD(MOD(_xlfn.BITXOR(C334,B335),256)*16777216+_xlfn.BITXOR(C334,B335)*403,4294967296)</f>
        <v>0</v>
      </c>
    </row>
    <row r="336" spans="1:3">
      <c r="B336">
        <f>_xlfn.UNICODE(MID($B$332,4,1))</f>
        <v>0</v>
      </c>
      <c r="C336">
        <f>MOD(MOD(_xlfn.BITXOR(C335,B336),256)*16777216+_xlfn.BITXOR(C335,B336)*403,4294967296)</f>
        <v>0</v>
      </c>
    </row>
    <row r="337" spans="2:3">
      <c r="B337">
        <f>_xlfn.UNICODE(MID($B$332,5,1))</f>
        <v>0</v>
      </c>
      <c r="C337">
        <f>MOD(MOD(_xlfn.BITXOR(C336,B337),256)*16777216+_xlfn.BITXOR(C336,B337)*403,4294967296)</f>
        <v>0</v>
      </c>
    </row>
    <row r="338" spans="2:3">
      <c r="B338">
        <f>_xlfn.UNICODE(MID($B$332,6,1))</f>
        <v>0</v>
      </c>
      <c r="C338">
        <f>MOD(MOD(_xlfn.BITXOR(C337,B338),256)*16777216+_xlfn.BITXOR(C337,B338)*403,4294967296)</f>
        <v>0</v>
      </c>
    </row>
    <row r="339" spans="2:3">
      <c r="B339">
        <f>_xlfn.UNICODE(MID($B$332,7,1))</f>
        <v>0</v>
      </c>
      <c r="C339">
        <f>MOD(MOD(_xlfn.BITXOR(C338,B339),256)*16777216+_xlfn.BITXOR(C338,B339)*403,4294967296)</f>
        <v>0</v>
      </c>
    </row>
    <row r="340" spans="2:3">
      <c r="B340">
        <f>_xlfn.UNICODE(MID($B$332,8,1))</f>
        <v>0</v>
      </c>
      <c r="C340">
        <f>MOD(MOD(_xlfn.BITXOR(C339,B340),256)*16777216+_xlfn.BITXOR(C339,B340)*403,4294967296)</f>
        <v>0</v>
      </c>
    </row>
    <row r="341" spans="2:3">
      <c r="B341">
        <f>_xlfn.UNICODE(MID($B$332,9,1))</f>
        <v>0</v>
      </c>
      <c r="C341">
        <f>MOD(MOD(_xlfn.BITXOR(C340,B341),256)*16777216+_xlfn.BITXOR(C340,B341)*403,4294967296)</f>
        <v>0</v>
      </c>
    </row>
    <row r="342" spans="2:3">
      <c r="B342">
        <f>_xlfn.UNICODE(MID($B$332,10,1))</f>
        <v>0</v>
      </c>
      <c r="C342">
        <f>MOD(MOD(_xlfn.BITXOR(C341,B342),256)*16777216+_xlfn.BITXOR(C341,B342)*403,4294967296)</f>
        <v>0</v>
      </c>
    </row>
    <row r="343" spans="2:3">
      <c r="B343">
        <f>_xlfn.UNICODE(MID($B$332,11,1))</f>
        <v>0</v>
      </c>
      <c r="C343">
        <f>MOD(MOD(_xlfn.BITXOR(C342,B343),256)*16777216+_xlfn.BITXOR(C342,B343)*403,4294967296)</f>
        <v>0</v>
      </c>
    </row>
    <row r="344" spans="2:3">
      <c r="B344">
        <f>_xlfn.UNICODE(MID($B$332,12,1))</f>
        <v>0</v>
      </c>
      <c r="C344">
        <f>MOD(MOD(_xlfn.BITXOR(C343,B344),256)*16777216+_xlfn.BITXOR(C343,B344)*403,4294967296)</f>
        <v>0</v>
      </c>
    </row>
    <row r="345" spans="2:3">
      <c r="B345">
        <f>_xlfn.UNICODE(MID($B$332,13,1))</f>
        <v>0</v>
      </c>
      <c r="C345">
        <f>MOD(MOD(_xlfn.BITXOR(C344,B345),256)*16777216+_xlfn.BITXOR(C344,B345)*403,4294967296)</f>
        <v>0</v>
      </c>
    </row>
    <row r="346" spans="2:3">
      <c r="B346">
        <f>_xlfn.UNICODE(MID($B$332,14,1))</f>
        <v>0</v>
      </c>
      <c r="C346">
        <f>MOD(MOD(_xlfn.BITXOR(C345,B346),256)*16777216+_xlfn.BITXOR(C345,B346)*403,4294967296)</f>
        <v>0</v>
      </c>
    </row>
    <row r="347" spans="2:3">
      <c r="B347">
        <f>_xlfn.UNICODE(MID($B$332,15,1))</f>
        <v>0</v>
      </c>
      <c r="C347">
        <f>MOD(MOD(_xlfn.BITXOR(C346,B347),256)*16777216+_xlfn.BITXOR(C346,B347)*403,4294967296)</f>
        <v>0</v>
      </c>
    </row>
    <row r="348" spans="2:3">
      <c r="B348">
        <f>_xlfn.UNICODE(MID($B$332,16,1))</f>
        <v>0</v>
      </c>
      <c r="C348">
        <f>MOD(MOD(_xlfn.BITXOR(C347,B348),256)*16777216+_xlfn.BITXOR(C347,B348)*403,4294967296)</f>
        <v>0</v>
      </c>
    </row>
    <row r="349" spans="2:3">
      <c r="B349">
        <f>_xlfn.UNICODE(MID($B$332,17,1))</f>
        <v>0</v>
      </c>
      <c r="C349">
        <f>MOD(MOD(_xlfn.BITXOR(C348,B349),256)*16777216+_xlfn.BITXOR(C348,B349)*403,4294967296)</f>
        <v>0</v>
      </c>
    </row>
    <row r="350" spans="2:3">
      <c r="B350">
        <f>_xlfn.UNICODE(MID($B$332,18,1))</f>
        <v>0</v>
      </c>
      <c r="C350">
        <f>MOD(MOD(_xlfn.BITXOR(C349,B350),256)*16777216+_xlfn.BITXOR(C349,B350)*403,4294967296)</f>
        <v>0</v>
      </c>
    </row>
    <row r="351" spans="2:3">
      <c r="B351">
        <f>_xlfn.UNICODE(MID($B$332,19,1))</f>
        <v>0</v>
      </c>
      <c r="C351">
        <f>MOD(MOD(_xlfn.BITXOR(C350,B351),256)*16777216+_xlfn.BITXOR(C350,B351)*403,4294967296)</f>
        <v>0</v>
      </c>
    </row>
    <row r="352" spans="2:3">
      <c r="B352">
        <f>_xlfn.UNICODE(MID($B$332,20,1))</f>
        <v>0</v>
      </c>
      <c r="C352">
        <f>MOD(MOD(_xlfn.BITXOR(C351,B352),256)*16777216+_xlfn.BITXOR(C351,B352)*403,4294967296)</f>
        <v>0</v>
      </c>
    </row>
    <row r="353" spans="1:3">
      <c r="B353">
        <f>_xlfn.UNICODE(MID($B$332,21,1))</f>
        <v>0</v>
      </c>
      <c r="C353">
        <f>MOD(MOD(_xlfn.BITXOR(C352,B353),256)*16777216+_xlfn.BITXOR(C352,B353)*403,4294967296)</f>
        <v>0</v>
      </c>
    </row>
    <row r="354" spans="1:3">
      <c r="B354">
        <f>_xlfn.UNICODE(MID($B$332,22,1))</f>
        <v>0</v>
      </c>
      <c r="C354">
        <f>MOD(MOD(_xlfn.BITXOR(C353,B354),256)*16777216+_xlfn.BITXOR(C353,B354)*403,4294967296)</f>
        <v>0</v>
      </c>
    </row>
    <row r="355" spans="1:3">
      <c r="B355">
        <f>_xlfn.UNICODE(MID($B$332,23,1))</f>
        <v>0</v>
      </c>
      <c r="C355">
        <f>MOD(MOD(_xlfn.BITXOR(C354,B355),256)*16777216+_xlfn.BITXOR(C354,B355)*403,4294967296)</f>
        <v>0</v>
      </c>
    </row>
    <row r="356" spans="1:3">
      <c r="B356">
        <f>_xlfn.UNICODE(MID($B$332,24,1))</f>
        <v>0</v>
      </c>
      <c r="C356">
        <f>MOD(MOD(_xlfn.BITXOR(C355,B356),256)*16777216+_xlfn.BITXOR(C355,B356)*403,4294967296)</f>
        <v>0</v>
      </c>
    </row>
    <row r="357" spans="1:3">
      <c r="B357">
        <f>_xlfn.UNICODE(MID($B$332,25,1))</f>
        <v>0</v>
      </c>
      <c r="C357">
        <f>MOD(MOD(_xlfn.BITXOR(C356,B357),256)*16777216+_xlfn.BITXOR(C356,B357)*403,4294967296)</f>
        <v>0</v>
      </c>
    </row>
    <row r="358" spans="1:3">
      <c r="B358">
        <f>_xlfn.UNICODE(MID($B$332,26,1))</f>
        <v>0</v>
      </c>
      <c r="C358">
        <f>MOD(MOD(_xlfn.BITXOR(C357,B358),256)*16777216+_xlfn.BITXOR(C357,B358)*403,4294967296)</f>
        <v>0</v>
      </c>
    </row>
    <row r="359" spans="1:3">
      <c r="B359">
        <f>_xlfn.UNICODE(MID($B$332,27,1))</f>
        <v>0</v>
      </c>
      <c r="C359">
        <f>MOD(MOD(_xlfn.BITXOR(C358,B359),256)*16777216+_xlfn.BITXOR(C358,B359)*403,4294967296)</f>
        <v>0</v>
      </c>
    </row>
    <row r="360" spans="1:3">
      <c r="B360">
        <f>_xlfn.UNICODE(MID($B$332,28,1))</f>
        <v>0</v>
      </c>
      <c r="C360">
        <f>MOD(MOD(_xlfn.BITXOR(C359,B360),256)*16777216+_xlfn.BITXOR(C359,B360)*403,4294967296)</f>
        <v>0</v>
      </c>
    </row>
    <row r="361" spans="1:3">
      <c r="B361">
        <f>_xlfn.UNICODE(MID($B$332,29,1))</f>
        <v>0</v>
      </c>
      <c r="C361">
        <f>MOD(MOD(_xlfn.BITXOR(C360,B361),256)*16777216+_xlfn.BITXOR(C360,B361)*403,4294967296)</f>
        <v>0</v>
      </c>
    </row>
    <row r="362" spans="1:3">
      <c r="A362" t="s">
        <v>129</v>
      </c>
      <c r="B362">
        <f>"dzi"&amp;Calcul!$B$82&amp;2</f>
        <v>0</v>
      </c>
    </row>
    <row r="363" spans="1:3">
      <c r="B363">
        <f>_xlfn.UNICODE(MID($B$362,1,1))</f>
        <v>0</v>
      </c>
      <c r="C363">
        <f>MOD(MOD(_xlfn.BITXOR(C361,B363),256)*16777216+_xlfn.BITXOR(C361,B363)*403,4294967296)</f>
        <v>0</v>
      </c>
    </row>
    <row r="364" spans="1:3">
      <c r="B364">
        <f>_xlfn.UNICODE(MID($B$362,2,1))</f>
        <v>0</v>
      </c>
      <c r="C364">
        <f>MOD(MOD(_xlfn.BITXOR(C363,B364),256)*16777216+_xlfn.BITXOR(C363,B364)*403,4294967296)</f>
        <v>0</v>
      </c>
    </row>
    <row r="365" spans="1:3">
      <c r="B365">
        <f>_xlfn.UNICODE(MID($B$362,3,1))</f>
        <v>0</v>
      </c>
      <c r="C365">
        <f>MOD(MOD(_xlfn.BITXOR(C364,B365),256)*16777216+_xlfn.BITXOR(C364,B365)*403,4294967296)</f>
        <v>0</v>
      </c>
    </row>
    <row r="366" spans="1:3">
      <c r="B366">
        <f>_xlfn.UNICODE(MID($B$362,4,1))</f>
        <v>0</v>
      </c>
      <c r="C366">
        <f>MOD(MOD(_xlfn.BITXOR(C365,B366),256)*16777216+_xlfn.BITXOR(C365,B366)*403,4294967296)</f>
        <v>0</v>
      </c>
    </row>
    <row r="367" spans="1:3">
      <c r="B367">
        <f>_xlfn.UNICODE(MID($B$362,5,1))</f>
        <v>0</v>
      </c>
      <c r="C367">
        <f>MOD(MOD(_xlfn.BITXOR(C366,B367),256)*16777216+_xlfn.BITXOR(C366,B367)*403,4294967296)</f>
        <v>0</v>
      </c>
    </row>
    <row r="368" spans="1:3">
      <c r="B368">
        <f>_xlfn.UNICODE(MID($B$362,6,1))</f>
        <v>0</v>
      </c>
      <c r="C368">
        <f>MOD(MOD(_xlfn.BITXOR(C367,B368),256)*16777216+_xlfn.BITXOR(C367,B368)*403,4294967296)</f>
        <v>0</v>
      </c>
    </row>
    <row r="369" spans="2:3">
      <c r="B369">
        <f>_xlfn.UNICODE(MID($B$362,7,1))</f>
        <v>0</v>
      </c>
      <c r="C369">
        <f>MOD(MOD(_xlfn.BITXOR(C368,B369),256)*16777216+_xlfn.BITXOR(C368,B369)*403,4294967296)</f>
        <v>0</v>
      </c>
    </row>
    <row r="370" spans="2:3">
      <c r="B370">
        <f>_xlfn.UNICODE(MID($B$362,8,1))</f>
        <v>0</v>
      </c>
      <c r="C370">
        <f>MOD(MOD(_xlfn.BITXOR(C369,B370),256)*16777216+_xlfn.BITXOR(C369,B370)*403,4294967296)</f>
        <v>0</v>
      </c>
    </row>
    <row r="371" spans="2:3">
      <c r="B371">
        <f>_xlfn.UNICODE(MID($B$362,9,1))</f>
        <v>0</v>
      </c>
      <c r="C371">
        <f>MOD(MOD(_xlfn.BITXOR(C370,B371),256)*16777216+_xlfn.BITXOR(C370,B371)*403,4294967296)</f>
        <v>0</v>
      </c>
    </row>
    <row r="372" spans="2:3">
      <c r="B372">
        <f>_xlfn.UNICODE(MID($B$362,10,1))</f>
        <v>0</v>
      </c>
      <c r="C372">
        <f>MOD(MOD(_xlfn.BITXOR(C371,B372),256)*16777216+_xlfn.BITXOR(C371,B372)*403,4294967296)</f>
        <v>0</v>
      </c>
    </row>
    <row r="373" spans="2:3">
      <c r="B373">
        <f>_xlfn.UNICODE(MID($B$362,11,1))</f>
        <v>0</v>
      </c>
      <c r="C373">
        <f>MOD(MOD(_xlfn.BITXOR(C372,B373),256)*16777216+_xlfn.BITXOR(C372,B373)*403,4294967296)</f>
        <v>0</v>
      </c>
    </row>
    <row r="374" spans="2:3">
      <c r="B374">
        <f>_xlfn.UNICODE(MID($B$362,12,1))</f>
        <v>0</v>
      </c>
      <c r="C374">
        <f>MOD(MOD(_xlfn.BITXOR(C373,B374),256)*16777216+_xlfn.BITXOR(C373,B374)*403,4294967296)</f>
        <v>0</v>
      </c>
    </row>
    <row r="375" spans="2:3">
      <c r="B375">
        <f>_xlfn.UNICODE(MID($B$362,13,1))</f>
        <v>0</v>
      </c>
      <c r="C375">
        <f>MOD(MOD(_xlfn.BITXOR(C374,B375),256)*16777216+_xlfn.BITXOR(C374,B375)*403,4294967296)</f>
        <v>0</v>
      </c>
    </row>
    <row r="376" spans="2:3">
      <c r="B376">
        <f>_xlfn.UNICODE(MID($B$362,14,1))</f>
        <v>0</v>
      </c>
      <c r="C376">
        <f>MOD(MOD(_xlfn.BITXOR(C375,B376),256)*16777216+_xlfn.BITXOR(C375,B376)*403,4294967296)</f>
        <v>0</v>
      </c>
    </row>
    <row r="377" spans="2:3">
      <c r="B377">
        <f>_xlfn.UNICODE(MID($B$362,15,1))</f>
        <v>0</v>
      </c>
      <c r="C377">
        <f>MOD(MOD(_xlfn.BITXOR(C376,B377),256)*16777216+_xlfn.BITXOR(C376,B377)*403,4294967296)</f>
        <v>0</v>
      </c>
    </row>
    <row r="378" spans="2:3">
      <c r="B378">
        <f>_xlfn.UNICODE(MID($B$362,16,1))</f>
        <v>0</v>
      </c>
      <c r="C378">
        <f>MOD(MOD(_xlfn.BITXOR(C377,B378),256)*16777216+_xlfn.BITXOR(C377,B378)*403,4294967296)</f>
        <v>0</v>
      </c>
    </row>
    <row r="379" spans="2:3">
      <c r="B379">
        <f>_xlfn.UNICODE(MID($B$362,17,1))</f>
        <v>0</v>
      </c>
      <c r="C379">
        <f>MOD(MOD(_xlfn.BITXOR(C378,B379),256)*16777216+_xlfn.BITXOR(C378,B379)*403,4294967296)</f>
        <v>0</v>
      </c>
    </row>
    <row r="380" spans="2:3">
      <c r="B380">
        <f>_xlfn.UNICODE(MID($B$362,18,1))</f>
        <v>0</v>
      </c>
      <c r="C380">
        <f>MOD(MOD(_xlfn.BITXOR(C379,B380),256)*16777216+_xlfn.BITXOR(C379,B380)*403,4294967296)</f>
        <v>0</v>
      </c>
    </row>
    <row r="381" spans="2:3">
      <c r="B381">
        <f>_xlfn.UNICODE(MID($B$362,19,1))</f>
        <v>0</v>
      </c>
      <c r="C381">
        <f>MOD(MOD(_xlfn.BITXOR(C380,B381),256)*16777216+_xlfn.BITXOR(C380,B381)*403,4294967296)</f>
        <v>0</v>
      </c>
    </row>
    <row r="382" spans="2:3">
      <c r="B382">
        <f>_xlfn.UNICODE(MID($B$362,20,1))</f>
        <v>0</v>
      </c>
      <c r="C382">
        <f>MOD(MOD(_xlfn.BITXOR(C381,B382),256)*16777216+_xlfn.BITXOR(C381,B382)*403,4294967296)</f>
        <v>0</v>
      </c>
    </row>
    <row r="383" spans="2:3">
      <c r="B383">
        <f>_xlfn.UNICODE(MID($B$362,21,1))</f>
        <v>0</v>
      </c>
      <c r="C383">
        <f>MOD(MOD(_xlfn.BITXOR(C382,B383),256)*16777216+_xlfn.BITXOR(C382,B383)*403,4294967296)</f>
        <v>0</v>
      </c>
    </row>
    <row r="384" spans="2:3">
      <c r="B384">
        <f>_xlfn.UNICODE(MID($B$362,22,1))</f>
        <v>0</v>
      </c>
      <c r="C384">
        <f>MOD(MOD(_xlfn.BITXOR(C383,B384),256)*16777216+_xlfn.BITXOR(C383,B384)*403,4294967296)</f>
        <v>0</v>
      </c>
    </row>
    <row r="385" spans="1:3">
      <c r="B385">
        <f>_xlfn.UNICODE(MID($B$362,23,1))</f>
        <v>0</v>
      </c>
      <c r="C385">
        <f>MOD(MOD(_xlfn.BITXOR(C384,B385),256)*16777216+_xlfn.BITXOR(C384,B385)*403,4294967296)</f>
        <v>0</v>
      </c>
    </row>
    <row r="386" spans="1:3">
      <c r="B386">
        <f>_xlfn.UNICODE(MID($B$362,24,1))</f>
        <v>0</v>
      </c>
      <c r="C386">
        <f>MOD(MOD(_xlfn.BITXOR(C385,B386),256)*16777216+_xlfn.BITXOR(C385,B386)*403,4294967296)</f>
        <v>0</v>
      </c>
    </row>
    <row r="387" spans="1:3">
      <c r="B387">
        <f>_xlfn.UNICODE(MID($B$362,25,1))</f>
        <v>0</v>
      </c>
      <c r="C387">
        <f>MOD(MOD(_xlfn.BITXOR(C386,B387),256)*16777216+_xlfn.BITXOR(C386,B387)*403,4294967296)</f>
        <v>0</v>
      </c>
    </row>
    <row r="388" spans="1:3">
      <c r="B388">
        <f>_xlfn.UNICODE(MID($B$362,26,1))</f>
        <v>0</v>
      </c>
      <c r="C388">
        <f>MOD(MOD(_xlfn.BITXOR(C387,B388),256)*16777216+_xlfn.BITXOR(C387,B388)*403,4294967296)</f>
        <v>0</v>
      </c>
    </row>
    <row r="389" spans="1:3">
      <c r="B389">
        <f>_xlfn.UNICODE(MID($B$362,27,1))</f>
        <v>0</v>
      </c>
      <c r="C389">
        <f>MOD(MOD(_xlfn.BITXOR(C388,B389),256)*16777216+_xlfn.BITXOR(C388,B389)*403,4294967296)</f>
        <v>0</v>
      </c>
    </row>
    <row r="390" spans="1:3">
      <c r="B390">
        <f>_xlfn.UNICODE(MID($B$362,28,1))</f>
        <v>0</v>
      </c>
      <c r="C390">
        <f>MOD(MOD(_xlfn.BITXOR(C389,B390),256)*16777216+_xlfn.BITXOR(C389,B390)*403,4294967296)</f>
        <v>0</v>
      </c>
    </row>
    <row r="391" spans="1:3">
      <c r="B391">
        <f>_xlfn.UNICODE(MID($B$362,29,1))</f>
        <v>0</v>
      </c>
      <c r="C391">
        <f>MOD(MOD(_xlfn.BITXOR(C390,B391),256)*16777216+_xlfn.BITXOR(C390,B391)*403,4294967296)</f>
        <v>0</v>
      </c>
    </row>
    <row r="392" spans="1:3">
      <c r="A392" t="s">
        <v>130</v>
      </c>
      <c r="B392">
        <f>"dzi"&amp;Calcul!$B$82&amp;4</f>
        <v>0</v>
      </c>
    </row>
    <row r="393" spans="1:3">
      <c r="B393">
        <f>_xlfn.UNICODE(MID($B$392,1,1))</f>
        <v>0</v>
      </c>
      <c r="C393">
        <f>MOD(MOD(_xlfn.BITXOR(C391,B393),256)*16777216+_xlfn.BITXOR(C391,B393)*403,4294967296)</f>
        <v>0</v>
      </c>
    </row>
    <row r="394" spans="1:3">
      <c r="B394">
        <f>_xlfn.UNICODE(MID($B$392,2,1))</f>
        <v>0</v>
      </c>
      <c r="C394">
        <f>MOD(MOD(_xlfn.BITXOR(C393,B394),256)*16777216+_xlfn.BITXOR(C393,B394)*403,4294967296)</f>
        <v>0</v>
      </c>
    </row>
    <row r="395" spans="1:3">
      <c r="B395">
        <f>_xlfn.UNICODE(MID($B$392,3,1))</f>
        <v>0</v>
      </c>
      <c r="C395">
        <f>MOD(MOD(_xlfn.BITXOR(C394,B395),256)*16777216+_xlfn.BITXOR(C394,B395)*403,4294967296)</f>
        <v>0</v>
      </c>
    </row>
    <row r="396" spans="1:3">
      <c r="B396">
        <f>_xlfn.UNICODE(MID($B$392,4,1))</f>
        <v>0</v>
      </c>
      <c r="C396">
        <f>MOD(MOD(_xlfn.BITXOR(C395,B396),256)*16777216+_xlfn.BITXOR(C395,B396)*403,4294967296)</f>
        <v>0</v>
      </c>
    </row>
    <row r="397" spans="1:3">
      <c r="B397">
        <f>_xlfn.UNICODE(MID($B$392,5,1))</f>
        <v>0</v>
      </c>
      <c r="C397">
        <f>MOD(MOD(_xlfn.BITXOR(C396,B397),256)*16777216+_xlfn.BITXOR(C396,B397)*403,4294967296)</f>
        <v>0</v>
      </c>
    </row>
    <row r="398" spans="1:3">
      <c r="B398">
        <f>_xlfn.UNICODE(MID($B$392,6,1))</f>
        <v>0</v>
      </c>
      <c r="C398">
        <f>MOD(MOD(_xlfn.BITXOR(C397,B398),256)*16777216+_xlfn.BITXOR(C397,B398)*403,4294967296)</f>
        <v>0</v>
      </c>
    </row>
    <row r="399" spans="1:3">
      <c r="B399">
        <f>_xlfn.UNICODE(MID($B$392,7,1))</f>
        <v>0</v>
      </c>
      <c r="C399">
        <f>MOD(MOD(_xlfn.BITXOR(C398,B399),256)*16777216+_xlfn.BITXOR(C398,B399)*403,4294967296)</f>
        <v>0</v>
      </c>
    </row>
    <row r="400" spans="1:3">
      <c r="B400">
        <f>_xlfn.UNICODE(MID($B$392,8,1))</f>
        <v>0</v>
      </c>
      <c r="C400">
        <f>MOD(MOD(_xlfn.BITXOR(C399,B400),256)*16777216+_xlfn.BITXOR(C399,B400)*403,4294967296)</f>
        <v>0</v>
      </c>
    </row>
    <row r="401" spans="2:3">
      <c r="B401">
        <f>_xlfn.UNICODE(MID($B$392,9,1))</f>
        <v>0</v>
      </c>
      <c r="C401">
        <f>MOD(MOD(_xlfn.BITXOR(C400,B401),256)*16777216+_xlfn.BITXOR(C400,B401)*403,4294967296)</f>
        <v>0</v>
      </c>
    </row>
    <row r="402" spans="2:3">
      <c r="B402">
        <f>_xlfn.UNICODE(MID($B$392,10,1))</f>
        <v>0</v>
      </c>
      <c r="C402">
        <f>MOD(MOD(_xlfn.BITXOR(C401,B402),256)*16777216+_xlfn.BITXOR(C401,B402)*403,4294967296)</f>
        <v>0</v>
      </c>
    </row>
    <row r="403" spans="2:3">
      <c r="B403">
        <f>_xlfn.UNICODE(MID($B$392,11,1))</f>
        <v>0</v>
      </c>
      <c r="C403">
        <f>MOD(MOD(_xlfn.BITXOR(C402,B403),256)*16777216+_xlfn.BITXOR(C402,B403)*403,4294967296)</f>
        <v>0</v>
      </c>
    </row>
    <row r="404" spans="2:3">
      <c r="B404">
        <f>_xlfn.UNICODE(MID($B$392,12,1))</f>
        <v>0</v>
      </c>
      <c r="C404">
        <f>MOD(MOD(_xlfn.BITXOR(C403,B404),256)*16777216+_xlfn.BITXOR(C403,B404)*403,4294967296)</f>
        <v>0</v>
      </c>
    </row>
    <row r="405" spans="2:3">
      <c r="B405">
        <f>_xlfn.UNICODE(MID($B$392,13,1))</f>
        <v>0</v>
      </c>
      <c r="C405">
        <f>MOD(MOD(_xlfn.BITXOR(C404,B405),256)*16777216+_xlfn.BITXOR(C404,B405)*403,4294967296)</f>
        <v>0</v>
      </c>
    </row>
    <row r="406" spans="2:3">
      <c r="B406">
        <f>_xlfn.UNICODE(MID($B$392,14,1))</f>
        <v>0</v>
      </c>
      <c r="C406">
        <f>MOD(MOD(_xlfn.BITXOR(C405,B406),256)*16777216+_xlfn.BITXOR(C405,B406)*403,4294967296)</f>
        <v>0</v>
      </c>
    </row>
    <row r="407" spans="2:3">
      <c r="B407">
        <f>_xlfn.UNICODE(MID($B$392,15,1))</f>
        <v>0</v>
      </c>
      <c r="C407">
        <f>MOD(MOD(_xlfn.BITXOR(C406,B407),256)*16777216+_xlfn.BITXOR(C406,B407)*403,4294967296)</f>
        <v>0</v>
      </c>
    </row>
    <row r="408" spans="2:3">
      <c r="B408">
        <f>_xlfn.UNICODE(MID($B$392,16,1))</f>
        <v>0</v>
      </c>
      <c r="C408">
        <f>MOD(MOD(_xlfn.BITXOR(C407,B408),256)*16777216+_xlfn.BITXOR(C407,B408)*403,4294967296)</f>
        <v>0</v>
      </c>
    </row>
    <row r="409" spans="2:3">
      <c r="B409">
        <f>_xlfn.UNICODE(MID($B$392,17,1))</f>
        <v>0</v>
      </c>
      <c r="C409">
        <f>MOD(MOD(_xlfn.BITXOR(C408,B409),256)*16777216+_xlfn.BITXOR(C408,B409)*403,4294967296)</f>
        <v>0</v>
      </c>
    </row>
    <row r="410" spans="2:3">
      <c r="B410">
        <f>_xlfn.UNICODE(MID($B$392,18,1))</f>
        <v>0</v>
      </c>
      <c r="C410">
        <f>MOD(MOD(_xlfn.BITXOR(C409,B410),256)*16777216+_xlfn.BITXOR(C409,B410)*403,4294967296)</f>
        <v>0</v>
      </c>
    </row>
    <row r="411" spans="2:3">
      <c r="B411">
        <f>_xlfn.UNICODE(MID($B$392,19,1))</f>
        <v>0</v>
      </c>
      <c r="C411">
        <f>MOD(MOD(_xlfn.BITXOR(C410,B411),256)*16777216+_xlfn.BITXOR(C410,B411)*403,4294967296)</f>
        <v>0</v>
      </c>
    </row>
    <row r="412" spans="2:3">
      <c r="B412">
        <f>_xlfn.UNICODE(MID($B$392,20,1))</f>
        <v>0</v>
      </c>
      <c r="C412">
        <f>MOD(MOD(_xlfn.BITXOR(C411,B412),256)*16777216+_xlfn.BITXOR(C411,B412)*403,4294967296)</f>
        <v>0</v>
      </c>
    </row>
    <row r="413" spans="2:3">
      <c r="B413">
        <f>_xlfn.UNICODE(MID($B$392,21,1))</f>
        <v>0</v>
      </c>
      <c r="C413">
        <f>MOD(MOD(_xlfn.BITXOR(C412,B413),256)*16777216+_xlfn.BITXOR(C412,B413)*403,4294967296)</f>
        <v>0</v>
      </c>
    </row>
    <row r="414" spans="2:3">
      <c r="B414">
        <f>_xlfn.UNICODE(MID($B$392,22,1))</f>
        <v>0</v>
      </c>
      <c r="C414">
        <f>MOD(MOD(_xlfn.BITXOR(C413,B414),256)*16777216+_xlfn.BITXOR(C413,B414)*403,4294967296)</f>
        <v>0</v>
      </c>
    </row>
    <row r="415" spans="2:3">
      <c r="B415">
        <f>_xlfn.UNICODE(MID($B$392,23,1))</f>
        <v>0</v>
      </c>
      <c r="C415">
        <f>MOD(MOD(_xlfn.BITXOR(C414,B415),256)*16777216+_xlfn.BITXOR(C414,B415)*403,4294967296)</f>
        <v>0</v>
      </c>
    </row>
    <row r="416" spans="2:3">
      <c r="B416">
        <f>_xlfn.UNICODE(MID($B$392,24,1))</f>
        <v>0</v>
      </c>
      <c r="C416">
        <f>MOD(MOD(_xlfn.BITXOR(C415,B416),256)*16777216+_xlfn.BITXOR(C415,B416)*403,4294967296)</f>
        <v>0</v>
      </c>
    </row>
    <row r="417" spans="1:3">
      <c r="B417">
        <f>_xlfn.UNICODE(MID($B$392,25,1))</f>
        <v>0</v>
      </c>
      <c r="C417">
        <f>MOD(MOD(_xlfn.BITXOR(C416,B417),256)*16777216+_xlfn.BITXOR(C416,B417)*403,4294967296)</f>
        <v>0</v>
      </c>
    </row>
    <row r="418" spans="1:3">
      <c r="B418">
        <f>_xlfn.UNICODE(MID($B$392,26,1))</f>
        <v>0</v>
      </c>
      <c r="C418">
        <f>MOD(MOD(_xlfn.BITXOR(C417,B418),256)*16777216+_xlfn.BITXOR(C417,B418)*403,4294967296)</f>
        <v>0</v>
      </c>
    </row>
    <row r="419" spans="1:3">
      <c r="B419">
        <f>_xlfn.UNICODE(MID($B$392,27,1))</f>
        <v>0</v>
      </c>
      <c r="C419">
        <f>MOD(MOD(_xlfn.BITXOR(C418,B419),256)*16777216+_xlfn.BITXOR(C418,B419)*403,4294967296)</f>
        <v>0</v>
      </c>
    </row>
    <row r="420" spans="1:3">
      <c r="B420">
        <f>_xlfn.UNICODE(MID($B$392,28,1))</f>
        <v>0</v>
      </c>
      <c r="C420">
        <f>MOD(MOD(_xlfn.BITXOR(C419,B420),256)*16777216+_xlfn.BITXOR(C419,B420)*403,4294967296)</f>
        <v>0</v>
      </c>
    </row>
    <row r="421" spans="1:3">
      <c r="B421">
        <f>_xlfn.UNICODE(MID($B$392,29,1))</f>
        <v>0</v>
      </c>
      <c r="C421">
        <f>MOD(MOD(_xlfn.BITXOR(C420,B421),256)*16777216+_xlfn.BITXOR(C420,B421)*403,4294967296)</f>
        <v>0</v>
      </c>
    </row>
    <row r="422" spans="1:3">
      <c r="A422" t="s">
        <v>131</v>
      </c>
      <c r="B422">
        <f>"dzi"&amp;Calcul!$B$82&amp;6</f>
        <v>0</v>
      </c>
    </row>
    <row r="423" spans="1:3">
      <c r="B423">
        <f>_xlfn.UNICODE(MID($B$422,1,1))</f>
        <v>0</v>
      </c>
      <c r="C423">
        <f>MOD(MOD(_xlfn.BITXOR(C421,B423),256)*16777216+_xlfn.BITXOR(C421,B423)*403,4294967296)</f>
        <v>0</v>
      </c>
    </row>
    <row r="424" spans="1:3">
      <c r="B424">
        <f>_xlfn.UNICODE(MID($B$422,2,1))</f>
        <v>0</v>
      </c>
      <c r="C424">
        <f>MOD(MOD(_xlfn.BITXOR(C423,B424),256)*16777216+_xlfn.BITXOR(C423,B424)*403,4294967296)</f>
        <v>0</v>
      </c>
    </row>
    <row r="425" spans="1:3">
      <c r="B425">
        <f>_xlfn.UNICODE(MID($B$422,3,1))</f>
        <v>0</v>
      </c>
      <c r="C425">
        <f>MOD(MOD(_xlfn.BITXOR(C424,B425),256)*16777216+_xlfn.BITXOR(C424,B425)*403,4294967296)</f>
        <v>0</v>
      </c>
    </row>
    <row r="426" spans="1:3">
      <c r="B426">
        <f>_xlfn.UNICODE(MID($B$422,4,1))</f>
        <v>0</v>
      </c>
      <c r="C426">
        <f>MOD(MOD(_xlfn.BITXOR(C425,B426),256)*16777216+_xlfn.BITXOR(C425,B426)*403,4294967296)</f>
        <v>0</v>
      </c>
    </row>
    <row r="427" spans="1:3">
      <c r="B427">
        <f>_xlfn.UNICODE(MID($B$422,5,1))</f>
        <v>0</v>
      </c>
      <c r="C427">
        <f>MOD(MOD(_xlfn.BITXOR(C426,B427),256)*16777216+_xlfn.BITXOR(C426,B427)*403,4294967296)</f>
        <v>0</v>
      </c>
    </row>
    <row r="428" spans="1:3">
      <c r="B428">
        <f>_xlfn.UNICODE(MID($B$422,6,1))</f>
        <v>0</v>
      </c>
      <c r="C428">
        <f>MOD(MOD(_xlfn.BITXOR(C427,B428),256)*16777216+_xlfn.BITXOR(C427,B428)*403,4294967296)</f>
        <v>0</v>
      </c>
    </row>
    <row r="429" spans="1:3">
      <c r="B429">
        <f>_xlfn.UNICODE(MID($B$422,7,1))</f>
        <v>0</v>
      </c>
      <c r="C429">
        <f>MOD(MOD(_xlfn.BITXOR(C428,B429),256)*16777216+_xlfn.BITXOR(C428,B429)*403,4294967296)</f>
        <v>0</v>
      </c>
    </row>
    <row r="430" spans="1:3">
      <c r="B430">
        <f>_xlfn.UNICODE(MID($B$422,8,1))</f>
        <v>0</v>
      </c>
      <c r="C430">
        <f>MOD(MOD(_xlfn.BITXOR(C429,B430),256)*16777216+_xlfn.BITXOR(C429,B430)*403,4294967296)</f>
        <v>0</v>
      </c>
    </row>
    <row r="431" spans="1:3">
      <c r="B431">
        <f>_xlfn.UNICODE(MID($B$422,9,1))</f>
        <v>0</v>
      </c>
      <c r="C431">
        <f>MOD(MOD(_xlfn.BITXOR(C430,B431),256)*16777216+_xlfn.BITXOR(C430,B431)*403,4294967296)</f>
        <v>0</v>
      </c>
    </row>
    <row r="432" spans="1:3">
      <c r="B432">
        <f>_xlfn.UNICODE(MID($B$422,10,1))</f>
        <v>0</v>
      </c>
      <c r="C432">
        <f>MOD(MOD(_xlfn.BITXOR(C431,B432),256)*16777216+_xlfn.BITXOR(C431,B432)*403,4294967296)</f>
        <v>0</v>
      </c>
    </row>
    <row r="433" spans="2:3">
      <c r="B433">
        <f>_xlfn.UNICODE(MID($B$422,11,1))</f>
        <v>0</v>
      </c>
      <c r="C433">
        <f>MOD(MOD(_xlfn.BITXOR(C432,B433),256)*16777216+_xlfn.BITXOR(C432,B433)*403,4294967296)</f>
        <v>0</v>
      </c>
    </row>
    <row r="434" spans="2:3">
      <c r="B434">
        <f>_xlfn.UNICODE(MID($B$422,12,1))</f>
        <v>0</v>
      </c>
      <c r="C434">
        <f>MOD(MOD(_xlfn.BITXOR(C433,B434),256)*16777216+_xlfn.BITXOR(C433,B434)*403,4294967296)</f>
        <v>0</v>
      </c>
    </row>
    <row r="435" spans="2:3">
      <c r="B435">
        <f>_xlfn.UNICODE(MID($B$422,13,1))</f>
        <v>0</v>
      </c>
      <c r="C435">
        <f>MOD(MOD(_xlfn.BITXOR(C434,B435),256)*16777216+_xlfn.BITXOR(C434,B435)*403,4294967296)</f>
        <v>0</v>
      </c>
    </row>
    <row r="436" spans="2:3">
      <c r="B436">
        <f>_xlfn.UNICODE(MID($B$422,14,1))</f>
        <v>0</v>
      </c>
      <c r="C436">
        <f>MOD(MOD(_xlfn.BITXOR(C435,B436),256)*16777216+_xlfn.BITXOR(C435,B436)*403,4294967296)</f>
        <v>0</v>
      </c>
    </row>
    <row r="437" spans="2:3">
      <c r="B437">
        <f>_xlfn.UNICODE(MID($B$422,15,1))</f>
        <v>0</v>
      </c>
      <c r="C437">
        <f>MOD(MOD(_xlfn.BITXOR(C436,B437),256)*16777216+_xlfn.BITXOR(C436,B437)*403,4294967296)</f>
        <v>0</v>
      </c>
    </row>
    <row r="438" spans="2:3">
      <c r="B438">
        <f>_xlfn.UNICODE(MID($B$422,16,1))</f>
        <v>0</v>
      </c>
      <c r="C438">
        <f>MOD(MOD(_xlfn.BITXOR(C437,B438),256)*16777216+_xlfn.BITXOR(C437,B438)*403,4294967296)</f>
        <v>0</v>
      </c>
    </row>
    <row r="439" spans="2:3">
      <c r="B439">
        <f>_xlfn.UNICODE(MID($B$422,17,1))</f>
        <v>0</v>
      </c>
      <c r="C439">
        <f>MOD(MOD(_xlfn.BITXOR(C438,B439),256)*16777216+_xlfn.BITXOR(C438,B439)*403,4294967296)</f>
        <v>0</v>
      </c>
    </row>
    <row r="440" spans="2:3">
      <c r="B440">
        <f>_xlfn.UNICODE(MID($B$422,18,1))</f>
        <v>0</v>
      </c>
      <c r="C440">
        <f>MOD(MOD(_xlfn.BITXOR(C439,B440),256)*16777216+_xlfn.BITXOR(C439,B440)*403,4294967296)</f>
        <v>0</v>
      </c>
    </row>
    <row r="441" spans="2:3">
      <c r="B441">
        <f>_xlfn.UNICODE(MID($B$422,19,1))</f>
        <v>0</v>
      </c>
      <c r="C441">
        <f>MOD(MOD(_xlfn.BITXOR(C440,B441),256)*16777216+_xlfn.BITXOR(C440,B441)*403,4294967296)</f>
        <v>0</v>
      </c>
    </row>
    <row r="442" spans="2:3">
      <c r="B442">
        <f>_xlfn.UNICODE(MID($B$422,20,1))</f>
        <v>0</v>
      </c>
      <c r="C442">
        <f>MOD(MOD(_xlfn.BITXOR(C441,B442),256)*16777216+_xlfn.BITXOR(C441,B442)*403,4294967296)</f>
        <v>0</v>
      </c>
    </row>
    <row r="443" spans="2:3">
      <c r="B443">
        <f>_xlfn.UNICODE(MID($B$422,21,1))</f>
        <v>0</v>
      </c>
      <c r="C443">
        <f>MOD(MOD(_xlfn.BITXOR(C442,B443),256)*16777216+_xlfn.BITXOR(C442,B443)*403,4294967296)</f>
        <v>0</v>
      </c>
    </row>
    <row r="444" spans="2:3">
      <c r="B444">
        <f>_xlfn.UNICODE(MID($B$422,22,1))</f>
        <v>0</v>
      </c>
      <c r="C444">
        <f>MOD(MOD(_xlfn.BITXOR(C443,B444),256)*16777216+_xlfn.BITXOR(C443,B444)*403,4294967296)</f>
        <v>0</v>
      </c>
    </row>
    <row r="445" spans="2:3">
      <c r="B445">
        <f>_xlfn.UNICODE(MID($B$422,23,1))</f>
        <v>0</v>
      </c>
      <c r="C445">
        <f>MOD(MOD(_xlfn.BITXOR(C444,B445),256)*16777216+_xlfn.BITXOR(C444,B445)*403,4294967296)</f>
        <v>0</v>
      </c>
    </row>
    <row r="446" spans="2:3">
      <c r="B446">
        <f>_xlfn.UNICODE(MID($B$422,24,1))</f>
        <v>0</v>
      </c>
      <c r="C446">
        <f>MOD(MOD(_xlfn.BITXOR(C445,B446),256)*16777216+_xlfn.BITXOR(C445,B446)*403,4294967296)</f>
        <v>0</v>
      </c>
    </row>
    <row r="447" spans="2:3">
      <c r="B447">
        <f>_xlfn.UNICODE(MID($B$422,25,1))</f>
        <v>0</v>
      </c>
      <c r="C447">
        <f>MOD(MOD(_xlfn.BITXOR(C446,B447),256)*16777216+_xlfn.BITXOR(C446,B447)*403,4294967296)</f>
        <v>0</v>
      </c>
    </row>
    <row r="448" spans="2:3">
      <c r="B448">
        <f>_xlfn.UNICODE(MID($B$422,26,1))</f>
        <v>0</v>
      </c>
      <c r="C448">
        <f>MOD(MOD(_xlfn.BITXOR(C447,B448),256)*16777216+_xlfn.BITXOR(C447,B448)*403,4294967296)</f>
        <v>0</v>
      </c>
    </row>
    <row r="449" spans="1:3">
      <c r="B449">
        <f>_xlfn.UNICODE(MID($B$422,27,1))</f>
        <v>0</v>
      </c>
      <c r="C449">
        <f>MOD(MOD(_xlfn.BITXOR(C448,B449),256)*16777216+_xlfn.BITXOR(C448,B449)*403,4294967296)</f>
        <v>0</v>
      </c>
    </row>
    <row r="450" spans="1:3">
      <c r="B450">
        <f>_xlfn.UNICODE(MID($B$422,28,1))</f>
        <v>0</v>
      </c>
      <c r="C450">
        <f>MOD(MOD(_xlfn.BITXOR(C449,B450),256)*16777216+_xlfn.BITXOR(C449,B450)*403,4294967296)</f>
        <v>0</v>
      </c>
    </row>
    <row r="451" spans="1:3">
      <c r="B451">
        <f>_xlfn.UNICODE(MID($B$422,29,1))</f>
        <v>0</v>
      </c>
      <c r="C451">
        <f>MOD(MOD(_xlfn.BITXOR(C450,B451),256)*16777216+_xlfn.BITXOR(C450,B451)*403,4294967296)</f>
        <v>0</v>
      </c>
    </row>
    <row r="452" spans="1:3">
      <c r="A452" t="s">
        <v>132</v>
      </c>
      <c r="B452">
        <f>"dzi"&amp;Calcul!$B$82&amp;8</f>
        <v>0</v>
      </c>
    </row>
    <row r="453" spans="1:3">
      <c r="B453">
        <f>_xlfn.UNICODE(MID($B$452,1,1))</f>
        <v>0</v>
      </c>
      <c r="C453">
        <f>MOD(MOD(_xlfn.BITXOR(C451,B453),256)*16777216+_xlfn.BITXOR(C451,B453)*403,4294967296)</f>
        <v>0</v>
      </c>
    </row>
    <row r="454" spans="1:3">
      <c r="B454">
        <f>_xlfn.UNICODE(MID($B$452,2,1))</f>
        <v>0</v>
      </c>
      <c r="C454">
        <f>MOD(MOD(_xlfn.BITXOR(C453,B454),256)*16777216+_xlfn.BITXOR(C453,B454)*403,4294967296)</f>
        <v>0</v>
      </c>
    </row>
    <row r="455" spans="1:3">
      <c r="B455">
        <f>_xlfn.UNICODE(MID($B$452,3,1))</f>
        <v>0</v>
      </c>
      <c r="C455">
        <f>MOD(MOD(_xlfn.BITXOR(C454,B455),256)*16777216+_xlfn.BITXOR(C454,B455)*403,4294967296)</f>
        <v>0</v>
      </c>
    </row>
    <row r="456" spans="1:3">
      <c r="B456">
        <f>_xlfn.UNICODE(MID($B$452,4,1))</f>
        <v>0</v>
      </c>
      <c r="C456">
        <f>MOD(MOD(_xlfn.BITXOR(C455,B456),256)*16777216+_xlfn.BITXOR(C455,B456)*403,4294967296)</f>
        <v>0</v>
      </c>
    </row>
    <row r="457" spans="1:3">
      <c r="B457">
        <f>_xlfn.UNICODE(MID($B$452,5,1))</f>
        <v>0</v>
      </c>
      <c r="C457">
        <f>MOD(MOD(_xlfn.BITXOR(C456,B457),256)*16777216+_xlfn.BITXOR(C456,B457)*403,4294967296)</f>
        <v>0</v>
      </c>
    </row>
    <row r="458" spans="1:3">
      <c r="B458">
        <f>_xlfn.UNICODE(MID($B$452,6,1))</f>
        <v>0</v>
      </c>
      <c r="C458">
        <f>MOD(MOD(_xlfn.BITXOR(C457,B458),256)*16777216+_xlfn.BITXOR(C457,B458)*403,4294967296)</f>
        <v>0</v>
      </c>
    </row>
    <row r="459" spans="1:3">
      <c r="B459">
        <f>_xlfn.UNICODE(MID($B$452,7,1))</f>
        <v>0</v>
      </c>
      <c r="C459">
        <f>MOD(MOD(_xlfn.BITXOR(C458,B459),256)*16777216+_xlfn.BITXOR(C458,B459)*403,4294967296)</f>
        <v>0</v>
      </c>
    </row>
    <row r="460" spans="1:3">
      <c r="B460">
        <f>_xlfn.UNICODE(MID($B$452,8,1))</f>
        <v>0</v>
      </c>
      <c r="C460">
        <f>MOD(MOD(_xlfn.BITXOR(C459,B460),256)*16777216+_xlfn.BITXOR(C459,B460)*403,4294967296)</f>
        <v>0</v>
      </c>
    </row>
    <row r="461" spans="1:3">
      <c r="B461">
        <f>_xlfn.UNICODE(MID($B$452,9,1))</f>
        <v>0</v>
      </c>
      <c r="C461">
        <f>MOD(MOD(_xlfn.BITXOR(C460,B461),256)*16777216+_xlfn.BITXOR(C460,B461)*403,4294967296)</f>
        <v>0</v>
      </c>
    </row>
    <row r="462" spans="1:3">
      <c r="B462">
        <f>_xlfn.UNICODE(MID($B$452,10,1))</f>
        <v>0</v>
      </c>
      <c r="C462">
        <f>MOD(MOD(_xlfn.BITXOR(C461,B462),256)*16777216+_xlfn.BITXOR(C461,B462)*403,4294967296)</f>
        <v>0</v>
      </c>
    </row>
    <row r="463" spans="1:3">
      <c r="B463">
        <f>_xlfn.UNICODE(MID($B$452,11,1))</f>
        <v>0</v>
      </c>
      <c r="C463">
        <f>MOD(MOD(_xlfn.BITXOR(C462,B463),256)*16777216+_xlfn.BITXOR(C462,B463)*403,4294967296)</f>
        <v>0</v>
      </c>
    </row>
    <row r="464" spans="1:3">
      <c r="B464">
        <f>_xlfn.UNICODE(MID($B$452,12,1))</f>
        <v>0</v>
      </c>
      <c r="C464">
        <f>MOD(MOD(_xlfn.BITXOR(C463,B464),256)*16777216+_xlfn.BITXOR(C463,B464)*403,4294967296)</f>
        <v>0</v>
      </c>
    </row>
    <row r="465" spans="2:3">
      <c r="B465">
        <f>_xlfn.UNICODE(MID($B$452,13,1))</f>
        <v>0</v>
      </c>
      <c r="C465">
        <f>MOD(MOD(_xlfn.BITXOR(C464,B465),256)*16777216+_xlfn.BITXOR(C464,B465)*403,4294967296)</f>
        <v>0</v>
      </c>
    </row>
    <row r="466" spans="2:3">
      <c r="B466">
        <f>_xlfn.UNICODE(MID($B$452,14,1))</f>
        <v>0</v>
      </c>
      <c r="C466">
        <f>MOD(MOD(_xlfn.BITXOR(C465,B466),256)*16777216+_xlfn.BITXOR(C465,B466)*403,4294967296)</f>
        <v>0</v>
      </c>
    </row>
    <row r="467" spans="2:3">
      <c r="B467">
        <f>_xlfn.UNICODE(MID($B$452,15,1))</f>
        <v>0</v>
      </c>
      <c r="C467">
        <f>MOD(MOD(_xlfn.BITXOR(C466,B467),256)*16777216+_xlfn.BITXOR(C466,B467)*403,4294967296)</f>
        <v>0</v>
      </c>
    </row>
    <row r="468" spans="2:3">
      <c r="B468">
        <f>_xlfn.UNICODE(MID($B$452,16,1))</f>
        <v>0</v>
      </c>
      <c r="C468">
        <f>MOD(MOD(_xlfn.BITXOR(C467,B468),256)*16777216+_xlfn.BITXOR(C467,B468)*403,4294967296)</f>
        <v>0</v>
      </c>
    </row>
    <row r="469" spans="2:3">
      <c r="B469">
        <f>_xlfn.UNICODE(MID($B$452,17,1))</f>
        <v>0</v>
      </c>
      <c r="C469">
        <f>MOD(MOD(_xlfn.BITXOR(C468,B469),256)*16777216+_xlfn.BITXOR(C468,B469)*403,4294967296)</f>
        <v>0</v>
      </c>
    </row>
    <row r="470" spans="2:3">
      <c r="B470">
        <f>_xlfn.UNICODE(MID($B$452,18,1))</f>
        <v>0</v>
      </c>
      <c r="C470">
        <f>MOD(MOD(_xlfn.BITXOR(C469,B470),256)*16777216+_xlfn.BITXOR(C469,B470)*403,4294967296)</f>
        <v>0</v>
      </c>
    </row>
    <row r="471" spans="2:3">
      <c r="B471">
        <f>_xlfn.UNICODE(MID($B$452,19,1))</f>
        <v>0</v>
      </c>
      <c r="C471">
        <f>MOD(MOD(_xlfn.BITXOR(C470,B471),256)*16777216+_xlfn.BITXOR(C470,B471)*403,4294967296)</f>
        <v>0</v>
      </c>
    </row>
    <row r="472" spans="2:3">
      <c r="B472">
        <f>_xlfn.UNICODE(MID($B$452,20,1))</f>
        <v>0</v>
      </c>
      <c r="C472">
        <f>MOD(MOD(_xlfn.BITXOR(C471,B472),256)*16777216+_xlfn.BITXOR(C471,B472)*403,4294967296)</f>
        <v>0</v>
      </c>
    </row>
    <row r="473" spans="2:3">
      <c r="B473">
        <f>_xlfn.UNICODE(MID($B$452,21,1))</f>
        <v>0</v>
      </c>
      <c r="C473">
        <f>MOD(MOD(_xlfn.BITXOR(C472,B473),256)*16777216+_xlfn.BITXOR(C472,B473)*403,4294967296)</f>
        <v>0</v>
      </c>
    </row>
    <row r="474" spans="2:3">
      <c r="B474">
        <f>_xlfn.UNICODE(MID($B$452,22,1))</f>
        <v>0</v>
      </c>
      <c r="C474">
        <f>MOD(MOD(_xlfn.BITXOR(C473,B474),256)*16777216+_xlfn.BITXOR(C473,B474)*403,4294967296)</f>
        <v>0</v>
      </c>
    </row>
    <row r="475" spans="2:3">
      <c r="B475">
        <f>_xlfn.UNICODE(MID($B$452,23,1))</f>
        <v>0</v>
      </c>
      <c r="C475">
        <f>MOD(MOD(_xlfn.BITXOR(C474,B475),256)*16777216+_xlfn.BITXOR(C474,B475)*403,4294967296)</f>
        <v>0</v>
      </c>
    </row>
    <row r="476" spans="2:3">
      <c r="B476">
        <f>_xlfn.UNICODE(MID($B$452,24,1))</f>
        <v>0</v>
      </c>
      <c r="C476">
        <f>MOD(MOD(_xlfn.BITXOR(C475,B476),256)*16777216+_xlfn.BITXOR(C475,B476)*403,4294967296)</f>
        <v>0</v>
      </c>
    </row>
    <row r="477" spans="2:3">
      <c r="B477">
        <f>_xlfn.UNICODE(MID($B$452,25,1))</f>
        <v>0</v>
      </c>
      <c r="C477">
        <f>MOD(MOD(_xlfn.BITXOR(C476,B477),256)*16777216+_xlfn.BITXOR(C476,B477)*403,4294967296)</f>
        <v>0</v>
      </c>
    </row>
    <row r="478" spans="2:3">
      <c r="B478">
        <f>_xlfn.UNICODE(MID($B$452,26,1))</f>
        <v>0</v>
      </c>
      <c r="C478">
        <f>MOD(MOD(_xlfn.BITXOR(C477,B478),256)*16777216+_xlfn.BITXOR(C477,B478)*403,4294967296)</f>
        <v>0</v>
      </c>
    </row>
    <row r="479" spans="2:3">
      <c r="B479">
        <f>_xlfn.UNICODE(MID($B$452,27,1))</f>
        <v>0</v>
      </c>
      <c r="C479">
        <f>MOD(MOD(_xlfn.BITXOR(C478,B479),256)*16777216+_xlfn.BITXOR(C478,B479)*403,4294967296)</f>
        <v>0</v>
      </c>
    </row>
    <row r="480" spans="2:3">
      <c r="B480">
        <f>_xlfn.UNICODE(MID($B$452,28,1))</f>
        <v>0</v>
      </c>
      <c r="C480">
        <f>MOD(MOD(_xlfn.BITXOR(C479,B480),256)*16777216+_xlfn.BITXOR(C479,B480)*403,4294967296)</f>
        <v>0</v>
      </c>
    </row>
    <row r="481" spans="1:3">
      <c r="B481">
        <f>_xlfn.UNICODE(MID($B$452,29,1))</f>
        <v>0</v>
      </c>
      <c r="C481">
        <f>MOD(MOD(_xlfn.BITXOR(C480,B481),256)*16777216+_xlfn.BITXOR(C480,B481)*403,4294967296)</f>
        <v>0</v>
      </c>
    </row>
    <row r="482" spans="1:3">
      <c r="A482" t="s">
        <v>133</v>
      </c>
      <c r="B482">
        <f>"dzi"&amp;Calcul!$B$82&amp;10</f>
        <v>0</v>
      </c>
    </row>
    <row r="483" spans="1:3">
      <c r="B483">
        <f>_xlfn.UNICODE(MID($B$482,1,1))</f>
        <v>0</v>
      </c>
      <c r="C483">
        <f>MOD(MOD(_xlfn.BITXOR(C481,B483),256)*16777216+_xlfn.BITXOR(C481,B483)*403,4294967296)</f>
        <v>0</v>
      </c>
    </row>
    <row r="484" spans="1:3">
      <c r="B484">
        <f>_xlfn.UNICODE(MID($B$482,2,1))</f>
        <v>0</v>
      </c>
      <c r="C484">
        <f>MOD(MOD(_xlfn.BITXOR(C483,B484),256)*16777216+_xlfn.BITXOR(C483,B484)*403,4294967296)</f>
        <v>0</v>
      </c>
    </row>
    <row r="485" spans="1:3">
      <c r="B485">
        <f>_xlfn.UNICODE(MID($B$482,3,1))</f>
        <v>0</v>
      </c>
      <c r="C485">
        <f>MOD(MOD(_xlfn.BITXOR(C484,B485),256)*16777216+_xlfn.BITXOR(C484,B485)*403,4294967296)</f>
        <v>0</v>
      </c>
    </row>
    <row r="486" spans="1:3">
      <c r="B486">
        <f>_xlfn.UNICODE(MID($B$482,4,1))</f>
        <v>0</v>
      </c>
      <c r="C486">
        <f>MOD(MOD(_xlfn.BITXOR(C485,B486),256)*16777216+_xlfn.BITXOR(C485,B486)*403,4294967296)</f>
        <v>0</v>
      </c>
    </row>
    <row r="487" spans="1:3">
      <c r="B487">
        <f>_xlfn.UNICODE(MID($B$482,5,1))</f>
        <v>0</v>
      </c>
      <c r="C487">
        <f>MOD(MOD(_xlfn.BITXOR(C486,B487),256)*16777216+_xlfn.BITXOR(C486,B487)*403,4294967296)</f>
        <v>0</v>
      </c>
    </row>
    <row r="488" spans="1:3">
      <c r="B488">
        <f>_xlfn.UNICODE(MID($B$482,6,1))</f>
        <v>0</v>
      </c>
      <c r="C488">
        <f>MOD(MOD(_xlfn.BITXOR(C487,B488),256)*16777216+_xlfn.BITXOR(C487,B488)*403,4294967296)</f>
        <v>0</v>
      </c>
    </row>
    <row r="489" spans="1:3">
      <c r="B489">
        <f>_xlfn.UNICODE(MID($B$482,7,1))</f>
        <v>0</v>
      </c>
      <c r="C489">
        <f>MOD(MOD(_xlfn.BITXOR(C488,B489),256)*16777216+_xlfn.BITXOR(C488,B489)*403,4294967296)</f>
        <v>0</v>
      </c>
    </row>
    <row r="490" spans="1:3">
      <c r="B490">
        <f>_xlfn.UNICODE(MID($B$482,8,1))</f>
        <v>0</v>
      </c>
      <c r="C490">
        <f>MOD(MOD(_xlfn.BITXOR(C489,B490),256)*16777216+_xlfn.BITXOR(C489,B490)*403,4294967296)</f>
        <v>0</v>
      </c>
    </row>
    <row r="491" spans="1:3">
      <c r="B491">
        <f>_xlfn.UNICODE(MID($B$482,9,1))</f>
        <v>0</v>
      </c>
      <c r="C491">
        <f>MOD(MOD(_xlfn.BITXOR(C490,B491),256)*16777216+_xlfn.BITXOR(C490,B491)*403,4294967296)</f>
        <v>0</v>
      </c>
    </row>
    <row r="492" spans="1:3">
      <c r="B492">
        <f>_xlfn.UNICODE(MID($B$482,10,1))</f>
        <v>0</v>
      </c>
      <c r="C492">
        <f>MOD(MOD(_xlfn.BITXOR(C491,B492),256)*16777216+_xlfn.BITXOR(C491,B492)*403,4294967296)</f>
        <v>0</v>
      </c>
    </row>
    <row r="493" spans="1:3">
      <c r="B493">
        <f>_xlfn.UNICODE(MID($B$482,11,1))</f>
        <v>0</v>
      </c>
      <c r="C493">
        <f>MOD(MOD(_xlfn.BITXOR(C492,B493),256)*16777216+_xlfn.BITXOR(C492,B493)*403,4294967296)</f>
        <v>0</v>
      </c>
    </row>
    <row r="494" spans="1:3">
      <c r="B494">
        <f>_xlfn.UNICODE(MID($B$482,12,1))</f>
        <v>0</v>
      </c>
      <c r="C494">
        <f>MOD(MOD(_xlfn.BITXOR(C493,B494),256)*16777216+_xlfn.BITXOR(C493,B494)*403,4294967296)</f>
        <v>0</v>
      </c>
    </row>
    <row r="495" spans="1:3">
      <c r="B495">
        <f>_xlfn.UNICODE(MID($B$482,13,1))</f>
        <v>0</v>
      </c>
      <c r="C495">
        <f>MOD(MOD(_xlfn.BITXOR(C494,B495),256)*16777216+_xlfn.BITXOR(C494,B495)*403,4294967296)</f>
        <v>0</v>
      </c>
    </row>
    <row r="496" spans="1:3">
      <c r="B496">
        <f>_xlfn.UNICODE(MID($B$482,14,1))</f>
        <v>0</v>
      </c>
      <c r="C496">
        <f>MOD(MOD(_xlfn.BITXOR(C495,B496),256)*16777216+_xlfn.BITXOR(C495,B496)*403,4294967296)</f>
        <v>0</v>
      </c>
    </row>
    <row r="497" spans="2:3">
      <c r="B497">
        <f>_xlfn.UNICODE(MID($B$482,15,1))</f>
        <v>0</v>
      </c>
      <c r="C497">
        <f>MOD(MOD(_xlfn.BITXOR(C496,B497),256)*16777216+_xlfn.BITXOR(C496,B497)*403,4294967296)</f>
        <v>0</v>
      </c>
    </row>
    <row r="498" spans="2:3">
      <c r="B498">
        <f>_xlfn.UNICODE(MID($B$482,16,1))</f>
        <v>0</v>
      </c>
      <c r="C498">
        <f>MOD(MOD(_xlfn.BITXOR(C497,B498),256)*16777216+_xlfn.BITXOR(C497,B498)*403,4294967296)</f>
        <v>0</v>
      </c>
    </row>
    <row r="499" spans="2:3">
      <c r="B499">
        <f>_xlfn.UNICODE(MID($B$482,17,1))</f>
        <v>0</v>
      </c>
      <c r="C499">
        <f>MOD(MOD(_xlfn.BITXOR(C498,B499),256)*16777216+_xlfn.BITXOR(C498,B499)*403,4294967296)</f>
        <v>0</v>
      </c>
    </row>
    <row r="500" spans="2:3">
      <c r="B500">
        <f>_xlfn.UNICODE(MID($B$482,18,1))</f>
        <v>0</v>
      </c>
      <c r="C500">
        <f>MOD(MOD(_xlfn.BITXOR(C499,B500),256)*16777216+_xlfn.BITXOR(C499,B500)*403,4294967296)</f>
        <v>0</v>
      </c>
    </row>
    <row r="501" spans="2:3">
      <c r="B501">
        <f>_xlfn.UNICODE(MID($B$482,19,1))</f>
        <v>0</v>
      </c>
      <c r="C501">
        <f>MOD(MOD(_xlfn.BITXOR(C500,B501),256)*16777216+_xlfn.BITXOR(C500,B501)*403,4294967296)</f>
        <v>0</v>
      </c>
    </row>
    <row r="502" spans="2:3">
      <c r="B502">
        <f>_xlfn.UNICODE(MID($B$482,20,1))</f>
        <v>0</v>
      </c>
      <c r="C502">
        <f>MOD(MOD(_xlfn.BITXOR(C501,B502),256)*16777216+_xlfn.BITXOR(C501,B502)*403,4294967296)</f>
        <v>0</v>
      </c>
    </row>
    <row r="503" spans="2:3">
      <c r="B503">
        <f>_xlfn.UNICODE(MID($B$482,21,1))</f>
        <v>0</v>
      </c>
      <c r="C503">
        <f>MOD(MOD(_xlfn.BITXOR(C502,B503),256)*16777216+_xlfn.BITXOR(C502,B503)*403,4294967296)</f>
        <v>0</v>
      </c>
    </row>
    <row r="504" spans="2:3">
      <c r="B504">
        <f>_xlfn.UNICODE(MID($B$482,22,1))</f>
        <v>0</v>
      </c>
      <c r="C504">
        <f>MOD(MOD(_xlfn.BITXOR(C503,B504),256)*16777216+_xlfn.BITXOR(C503,B504)*403,4294967296)</f>
        <v>0</v>
      </c>
    </row>
    <row r="505" spans="2:3">
      <c r="B505">
        <f>_xlfn.UNICODE(MID($B$482,23,1))</f>
        <v>0</v>
      </c>
      <c r="C505">
        <f>MOD(MOD(_xlfn.BITXOR(C504,B505),256)*16777216+_xlfn.BITXOR(C504,B505)*403,4294967296)</f>
        <v>0</v>
      </c>
    </row>
    <row r="506" spans="2:3">
      <c r="B506">
        <f>_xlfn.UNICODE(MID($B$482,24,1))</f>
        <v>0</v>
      </c>
      <c r="C506">
        <f>MOD(MOD(_xlfn.BITXOR(C505,B506),256)*16777216+_xlfn.BITXOR(C505,B506)*403,4294967296)</f>
        <v>0</v>
      </c>
    </row>
    <row r="507" spans="2:3">
      <c r="B507">
        <f>_xlfn.UNICODE(MID($B$482,25,1))</f>
        <v>0</v>
      </c>
      <c r="C507">
        <f>MOD(MOD(_xlfn.BITXOR(C506,B507),256)*16777216+_xlfn.BITXOR(C506,B507)*403,4294967296)</f>
        <v>0</v>
      </c>
    </row>
    <row r="508" spans="2:3">
      <c r="B508">
        <f>_xlfn.UNICODE(MID($B$482,26,1))</f>
        <v>0</v>
      </c>
      <c r="C508">
        <f>MOD(MOD(_xlfn.BITXOR(C507,B508),256)*16777216+_xlfn.BITXOR(C507,B508)*403,4294967296)</f>
        <v>0</v>
      </c>
    </row>
    <row r="509" spans="2:3">
      <c r="B509">
        <f>_xlfn.UNICODE(MID($B$482,27,1))</f>
        <v>0</v>
      </c>
      <c r="C509">
        <f>MOD(MOD(_xlfn.BITXOR(C508,B509),256)*16777216+_xlfn.BITXOR(C508,B509)*403,4294967296)</f>
        <v>0</v>
      </c>
    </row>
    <row r="510" spans="2:3">
      <c r="B510">
        <f>_xlfn.UNICODE(MID($B$482,28,1))</f>
        <v>0</v>
      </c>
      <c r="C510">
        <f>MOD(MOD(_xlfn.BITXOR(C509,B510),256)*16777216+_xlfn.BITXOR(C509,B510)*403,4294967296)</f>
        <v>0</v>
      </c>
    </row>
    <row r="511" spans="2:3">
      <c r="B511">
        <f>_xlfn.UNICODE(MID($B$482,29,1))</f>
        <v>0</v>
      </c>
      <c r="C511">
        <f>MOD(MOD(_xlfn.BITXOR(C510,B511),256)*16777216+_xlfn.BITXOR(C510,B511)*403,4294967296)</f>
        <v>0</v>
      </c>
    </row>
    <row r="512" spans="2:3">
      <c r="B512">
        <f>_xlfn.UNICODE(MID($B$482,30,1))</f>
        <v>0</v>
      </c>
      <c r="C512">
        <f>MOD(MOD(_xlfn.BITXOR(C511,B512),256)*16777216+_xlfn.BITXOR(C511,B512)*403,4294967296)</f>
        <v>0</v>
      </c>
    </row>
    <row r="513" spans="1:3">
      <c r="A513" t="s">
        <v>134</v>
      </c>
      <c r="B513">
        <f>"dzi"&amp;Calcul!$B$82&amp;12</f>
        <v>0</v>
      </c>
    </row>
    <row r="514" spans="1:3">
      <c r="B514">
        <f>_xlfn.UNICODE(MID($B$513,1,1))</f>
        <v>0</v>
      </c>
      <c r="C514">
        <f>MOD(MOD(_xlfn.BITXOR(C512,B514),256)*16777216+_xlfn.BITXOR(C512,B514)*403,4294967296)</f>
        <v>0</v>
      </c>
    </row>
    <row r="515" spans="1:3">
      <c r="B515">
        <f>_xlfn.UNICODE(MID($B$513,2,1))</f>
        <v>0</v>
      </c>
      <c r="C515">
        <f>MOD(MOD(_xlfn.BITXOR(C514,B515),256)*16777216+_xlfn.BITXOR(C514,B515)*403,4294967296)</f>
        <v>0</v>
      </c>
    </row>
    <row r="516" spans="1:3">
      <c r="B516">
        <f>_xlfn.UNICODE(MID($B$513,3,1))</f>
        <v>0</v>
      </c>
      <c r="C516">
        <f>MOD(MOD(_xlfn.BITXOR(C515,B516),256)*16777216+_xlfn.BITXOR(C515,B516)*403,4294967296)</f>
        <v>0</v>
      </c>
    </row>
    <row r="517" spans="1:3">
      <c r="B517">
        <f>_xlfn.UNICODE(MID($B$513,4,1))</f>
        <v>0</v>
      </c>
      <c r="C517">
        <f>MOD(MOD(_xlfn.BITXOR(C516,B517),256)*16777216+_xlfn.BITXOR(C516,B517)*403,4294967296)</f>
        <v>0</v>
      </c>
    </row>
    <row r="518" spans="1:3">
      <c r="B518">
        <f>_xlfn.UNICODE(MID($B$513,5,1))</f>
        <v>0</v>
      </c>
      <c r="C518">
        <f>MOD(MOD(_xlfn.BITXOR(C517,B518),256)*16777216+_xlfn.BITXOR(C517,B518)*403,4294967296)</f>
        <v>0</v>
      </c>
    </row>
    <row r="519" spans="1:3">
      <c r="B519">
        <f>_xlfn.UNICODE(MID($B$513,6,1))</f>
        <v>0</v>
      </c>
      <c r="C519">
        <f>MOD(MOD(_xlfn.BITXOR(C518,B519),256)*16777216+_xlfn.BITXOR(C518,B519)*403,4294967296)</f>
        <v>0</v>
      </c>
    </row>
    <row r="520" spans="1:3">
      <c r="B520">
        <f>_xlfn.UNICODE(MID($B$513,7,1))</f>
        <v>0</v>
      </c>
      <c r="C520">
        <f>MOD(MOD(_xlfn.BITXOR(C519,B520),256)*16777216+_xlfn.BITXOR(C519,B520)*403,4294967296)</f>
        <v>0</v>
      </c>
    </row>
    <row r="521" spans="1:3">
      <c r="B521">
        <f>_xlfn.UNICODE(MID($B$513,8,1))</f>
        <v>0</v>
      </c>
      <c r="C521">
        <f>MOD(MOD(_xlfn.BITXOR(C520,B521),256)*16777216+_xlfn.BITXOR(C520,B521)*403,4294967296)</f>
        <v>0</v>
      </c>
    </row>
    <row r="522" spans="1:3">
      <c r="B522">
        <f>_xlfn.UNICODE(MID($B$513,9,1))</f>
        <v>0</v>
      </c>
      <c r="C522">
        <f>MOD(MOD(_xlfn.BITXOR(C521,B522),256)*16777216+_xlfn.BITXOR(C521,B522)*403,4294967296)</f>
        <v>0</v>
      </c>
    </row>
    <row r="523" spans="1:3">
      <c r="B523">
        <f>_xlfn.UNICODE(MID($B$513,10,1))</f>
        <v>0</v>
      </c>
      <c r="C523">
        <f>MOD(MOD(_xlfn.BITXOR(C522,B523),256)*16777216+_xlfn.BITXOR(C522,B523)*403,4294967296)</f>
        <v>0</v>
      </c>
    </row>
    <row r="524" spans="1:3">
      <c r="B524">
        <f>_xlfn.UNICODE(MID($B$513,11,1))</f>
        <v>0</v>
      </c>
      <c r="C524">
        <f>MOD(MOD(_xlfn.BITXOR(C523,B524),256)*16777216+_xlfn.BITXOR(C523,B524)*403,4294967296)</f>
        <v>0</v>
      </c>
    </row>
    <row r="525" spans="1:3">
      <c r="B525">
        <f>_xlfn.UNICODE(MID($B$513,12,1))</f>
        <v>0</v>
      </c>
      <c r="C525">
        <f>MOD(MOD(_xlfn.BITXOR(C524,B525),256)*16777216+_xlfn.BITXOR(C524,B525)*403,4294967296)</f>
        <v>0</v>
      </c>
    </row>
    <row r="526" spans="1:3">
      <c r="B526">
        <f>_xlfn.UNICODE(MID($B$513,13,1))</f>
        <v>0</v>
      </c>
      <c r="C526">
        <f>MOD(MOD(_xlfn.BITXOR(C525,B526),256)*16777216+_xlfn.BITXOR(C525,B526)*403,4294967296)</f>
        <v>0</v>
      </c>
    </row>
    <row r="527" spans="1:3">
      <c r="B527">
        <f>_xlfn.UNICODE(MID($B$513,14,1))</f>
        <v>0</v>
      </c>
      <c r="C527">
        <f>MOD(MOD(_xlfn.BITXOR(C526,B527),256)*16777216+_xlfn.BITXOR(C526,B527)*403,4294967296)</f>
        <v>0</v>
      </c>
    </row>
    <row r="528" spans="1:3">
      <c r="B528">
        <f>_xlfn.UNICODE(MID($B$513,15,1))</f>
        <v>0</v>
      </c>
      <c r="C528">
        <f>MOD(MOD(_xlfn.BITXOR(C527,B528),256)*16777216+_xlfn.BITXOR(C527,B528)*403,4294967296)</f>
        <v>0</v>
      </c>
    </row>
    <row r="529" spans="1:3">
      <c r="B529">
        <f>_xlfn.UNICODE(MID($B$513,16,1))</f>
        <v>0</v>
      </c>
      <c r="C529">
        <f>MOD(MOD(_xlfn.BITXOR(C528,B529),256)*16777216+_xlfn.BITXOR(C528,B529)*403,4294967296)</f>
        <v>0</v>
      </c>
    </row>
    <row r="530" spans="1:3">
      <c r="B530">
        <f>_xlfn.UNICODE(MID($B$513,17,1))</f>
        <v>0</v>
      </c>
      <c r="C530">
        <f>MOD(MOD(_xlfn.BITXOR(C529,B530),256)*16777216+_xlfn.BITXOR(C529,B530)*403,4294967296)</f>
        <v>0</v>
      </c>
    </row>
    <row r="531" spans="1:3">
      <c r="B531">
        <f>_xlfn.UNICODE(MID($B$513,18,1))</f>
        <v>0</v>
      </c>
      <c r="C531">
        <f>MOD(MOD(_xlfn.BITXOR(C530,B531),256)*16777216+_xlfn.BITXOR(C530,B531)*403,4294967296)</f>
        <v>0</v>
      </c>
    </row>
    <row r="532" spans="1:3">
      <c r="B532">
        <f>_xlfn.UNICODE(MID($B$513,19,1))</f>
        <v>0</v>
      </c>
      <c r="C532">
        <f>MOD(MOD(_xlfn.BITXOR(C531,B532),256)*16777216+_xlfn.BITXOR(C531,B532)*403,4294967296)</f>
        <v>0</v>
      </c>
    </row>
    <row r="533" spans="1:3">
      <c r="B533">
        <f>_xlfn.UNICODE(MID($B$513,20,1))</f>
        <v>0</v>
      </c>
      <c r="C533">
        <f>MOD(MOD(_xlfn.BITXOR(C532,B533),256)*16777216+_xlfn.BITXOR(C532,B533)*403,4294967296)</f>
        <v>0</v>
      </c>
    </row>
    <row r="534" spans="1:3">
      <c r="B534">
        <f>_xlfn.UNICODE(MID($B$513,21,1))</f>
        <v>0</v>
      </c>
      <c r="C534">
        <f>MOD(MOD(_xlfn.BITXOR(C533,B534),256)*16777216+_xlfn.BITXOR(C533,B534)*403,4294967296)</f>
        <v>0</v>
      </c>
    </row>
    <row r="535" spans="1:3">
      <c r="B535">
        <f>_xlfn.UNICODE(MID($B$513,22,1))</f>
        <v>0</v>
      </c>
      <c r="C535">
        <f>MOD(MOD(_xlfn.BITXOR(C534,B535),256)*16777216+_xlfn.BITXOR(C534,B535)*403,4294967296)</f>
        <v>0</v>
      </c>
    </row>
    <row r="536" spans="1:3">
      <c r="B536">
        <f>_xlfn.UNICODE(MID($B$513,23,1))</f>
        <v>0</v>
      </c>
      <c r="C536">
        <f>MOD(MOD(_xlfn.BITXOR(C535,B536),256)*16777216+_xlfn.BITXOR(C535,B536)*403,4294967296)</f>
        <v>0</v>
      </c>
    </row>
    <row r="537" spans="1:3">
      <c r="B537">
        <f>_xlfn.UNICODE(MID($B$513,24,1))</f>
        <v>0</v>
      </c>
      <c r="C537">
        <f>MOD(MOD(_xlfn.BITXOR(C536,B537),256)*16777216+_xlfn.BITXOR(C536,B537)*403,4294967296)</f>
        <v>0</v>
      </c>
    </row>
    <row r="538" spans="1:3">
      <c r="B538">
        <f>_xlfn.UNICODE(MID($B$513,25,1))</f>
        <v>0</v>
      </c>
      <c r="C538">
        <f>MOD(MOD(_xlfn.BITXOR(C537,B538),256)*16777216+_xlfn.BITXOR(C537,B538)*403,4294967296)</f>
        <v>0</v>
      </c>
    </row>
    <row r="539" spans="1:3">
      <c r="B539">
        <f>_xlfn.UNICODE(MID($B$513,26,1))</f>
        <v>0</v>
      </c>
      <c r="C539">
        <f>MOD(MOD(_xlfn.BITXOR(C538,B539),256)*16777216+_xlfn.BITXOR(C538,B539)*403,4294967296)</f>
        <v>0</v>
      </c>
    </row>
    <row r="540" spans="1:3">
      <c r="B540">
        <f>_xlfn.UNICODE(MID($B$513,27,1))</f>
        <v>0</v>
      </c>
      <c r="C540">
        <f>MOD(MOD(_xlfn.BITXOR(C539,B540),256)*16777216+_xlfn.BITXOR(C539,B540)*403,4294967296)</f>
        <v>0</v>
      </c>
    </row>
    <row r="541" spans="1:3">
      <c r="B541">
        <f>_xlfn.UNICODE(MID($B$513,28,1))</f>
        <v>0</v>
      </c>
      <c r="C541">
        <f>MOD(MOD(_xlfn.BITXOR(C540,B541),256)*16777216+_xlfn.BITXOR(C540,B541)*403,4294967296)</f>
        <v>0</v>
      </c>
    </row>
    <row r="542" spans="1:3">
      <c r="B542">
        <f>_xlfn.UNICODE(MID($B$513,29,1))</f>
        <v>0</v>
      </c>
      <c r="C542">
        <f>MOD(MOD(_xlfn.BITXOR(C541,B542),256)*16777216+_xlfn.BITXOR(C541,B542)*403,4294967296)</f>
        <v>0</v>
      </c>
    </row>
    <row r="543" spans="1:3">
      <c r="B543">
        <f>_xlfn.UNICODE(MID($B$513,30,1))</f>
        <v>0</v>
      </c>
      <c r="C543">
        <f>MOD(MOD(_xlfn.BITXOR(C542,B543),256)*16777216+_xlfn.BITXOR(C542,B543)*403,4294967296)</f>
        <v>0</v>
      </c>
    </row>
    <row r="544" spans="1:3">
      <c r="A544" t="s">
        <v>135</v>
      </c>
      <c r="B544">
        <f>"dzi"&amp;Calcul!$B$82&amp;14</f>
        <v>0</v>
      </c>
    </row>
    <row r="545" spans="2:3">
      <c r="B545">
        <f>_xlfn.UNICODE(MID($B$544,1,1))</f>
        <v>0</v>
      </c>
      <c r="C545">
        <f>MOD(MOD(_xlfn.BITXOR(C543,B545),256)*16777216+_xlfn.BITXOR(C543,B545)*403,4294967296)</f>
        <v>0</v>
      </c>
    </row>
    <row r="546" spans="2:3">
      <c r="B546">
        <f>_xlfn.UNICODE(MID($B$544,2,1))</f>
        <v>0</v>
      </c>
      <c r="C546">
        <f>MOD(MOD(_xlfn.BITXOR(C545,B546),256)*16777216+_xlfn.BITXOR(C545,B546)*403,4294967296)</f>
        <v>0</v>
      </c>
    </row>
    <row r="547" spans="2:3">
      <c r="B547">
        <f>_xlfn.UNICODE(MID($B$544,3,1))</f>
        <v>0</v>
      </c>
      <c r="C547">
        <f>MOD(MOD(_xlfn.BITXOR(C546,B547),256)*16777216+_xlfn.BITXOR(C546,B547)*403,4294967296)</f>
        <v>0</v>
      </c>
    </row>
    <row r="548" spans="2:3">
      <c r="B548">
        <f>_xlfn.UNICODE(MID($B$544,4,1))</f>
        <v>0</v>
      </c>
      <c r="C548">
        <f>MOD(MOD(_xlfn.BITXOR(C547,B548),256)*16777216+_xlfn.BITXOR(C547,B548)*403,4294967296)</f>
        <v>0</v>
      </c>
    </row>
    <row r="549" spans="2:3">
      <c r="B549">
        <f>_xlfn.UNICODE(MID($B$544,5,1))</f>
        <v>0</v>
      </c>
      <c r="C549">
        <f>MOD(MOD(_xlfn.BITXOR(C548,B549),256)*16777216+_xlfn.BITXOR(C548,B549)*403,4294967296)</f>
        <v>0</v>
      </c>
    </row>
    <row r="550" spans="2:3">
      <c r="B550">
        <f>_xlfn.UNICODE(MID($B$544,6,1))</f>
        <v>0</v>
      </c>
      <c r="C550">
        <f>MOD(MOD(_xlfn.BITXOR(C549,B550),256)*16777216+_xlfn.BITXOR(C549,B550)*403,4294967296)</f>
        <v>0</v>
      </c>
    </row>
    <row r="551" spans="2:3">
      <c r="B551">
        <f>_xlfn.UNICODE(MID($B$544,7,1))</f>
        <v>0</v>
      </c>
      <c r="C551">
        <f>MOD(MOD(_xlfn.BITXOR(C550,B551),256)*16777216+_xlfn.BITXOR(C550,B551)*403,4294967296)</f>
        <v>0</v>
      </c>
    </row>
    <row r="552" spans="2:3">
      <c r="B552">
        <f>_xlfn.UNICODE(MID($B$544,8,1))</f>
        <v>0</v>
      </c>
      <c r="C552">
        <f>MOD(MOD(_xlfn.BITXOR(C551,B552),256)*16777216+_xlfn.BITXOR(C551,B552)*403,4294967296)</f>
        <v>0</v>
      </c>
    </row>
    <row r="553" spans="2:3">
      <c r="B553">
        <f>_xlfn.UNICODE(MID($B$544,9,1))</f>
        <v>0</v>
      </c>
      <c r="C553">
        <f>MOD(MOD(_xlfn.BITXOR(C552,B553),256)*16777216+_xlfn.BITXOR(C552,B553)*403,4294967296)</f>
        <v>0</v>
      </c>
    </row>
    <row r="554" spans="2:3">
      <c r="B554">
        <f>_xlfn.UNICODE(MID($B$544,10,1))</f>
        <v>0</v>
      </c>
      <c r="C554">
        <f>MOD(MOD(_xlfn.BITXOR(C553,B554),256)*16777216+_xlfn.BITXOR(C553,B554)*403,4294967296)</f>
        <v>0</v>
      </c>
    </row>
    <row r="555" spans="2:3">
      <c r="B555">
        <f>_xlfn.UNICODE(MID($B$544,11,1))</f>
        <v>0</v>
      </c>
      <c r="C555">
        <f>MOD(MOD(_xlfn.BITXOR(C554,B555),256)*16777216+_xlfn.BITXOR(C554,B555)*403,4294967296)</f>
        <v>0</v>
      </c>
    </row>
    <row r="556" spans="2:3">
      <c r="B556">
        <f>_xlfn.UNICODE(MID($B$544,12,1))</f>
        <v>0</v>
      </c>
      <c r="C556">
        <f>MOD(MOD(_xlfn.BITXOR(C555,B556),256)*16777216+_xlfn.BITXOR(C555,B556)*403,4294967296)</f>
        <v>0</v>
      </c>
    </row>
    <row r="557" spans="2:3">
      <c r="B557">
        <f>_xlfn.UNICODE(MID($B$544,13,1))</f>
        <v>0</v>
      </c>
      <c r="C557">
        <f>MOD(MOD(_xlfn.BITXOR(C556,B557),256)*16777216+_xlfn.BITXOR(C556,B557)*403,4294967296)</f>
        <v>0</v>
      </c>
    </row>
    <row r="558" spans="2:3">
      <c r="B558">
        <f>_xlfn.UNICODE(MID($B$544,14,1))</f>
        <v>0</v>
      </c>
      <c r="C558">
        <f>MOD(MOD(_xlfn.BITXOR(C557,B558),256)*16777216+_xlfn.BITXOR(C557,B558)*403,4294967296)</f>
        <v>0</v>
      </c>
    </row>
    <row r="559" spans="2:3">
      <c r="B559">
        <f>_xlfn.UNICODE(MID($B$544,15,1))</f>
        <v>0</v>
      </c>
      <c r="C559">
        <f>MOD(MOD(_xlfn.BITXOR(C558,B559),256)*16777216+_xlfn.BITXOR(C558,B559)*403,4294967296)</f>
        <v>0</v>
      </c>
    </row>
    <row r="560" spans="2:3">
      <c r="B560">
        <f>_xlfn.UNICODE(MID($B$544,16,1))</f>
        <v>0</v>
      </c>
      <c r="C560">
        <f>MOD(MOD(_xlfn.BITXOR(C559,B560),256)*16777216+_xlfn.BITXOR(C559,B560)*403,4294967296)</f>
        <v>0</v>
      </c>
    </row>
    <row r="561" spans="1:3">
      <c r="B561">
        <f>_xlfn.UNICODE(MID($B$544,17,1))</f>
        <v>0</v>
      </c>
      <c r="C561">
        <f>MOD(MOD(_xlfn.BITXOR(C560,B561),256)*16777216+_xlfn.BITXOR(C560,B561)*403,4294967296)</f>
        <v>0</v>
      </c>
    </row>
    <row r="562" spans="1:3">
      <c r="B562">
        <f>_xlfn.UNICODE(MID($B$544,18,1))</f>
        <v>0</v>
      </c>
      <c r="C562">
        <f>MOD(MOD(_xlfn.BITXOR(C561,B562),256)*16777216+_xlfn.BITXOR(C561,B562)*403,4294967296)</f>
        <v>0</v>
      </c>
    </row>
    <row r="563" spans="1:3">
      <c r="B563">
        <f>_xlfn.UNICODE(MID($B$544,19,1))</f>
        <v>0</v>
      </c>
      <c r="C563">
        <f>MOD(MOD(_xlfn.BITXOR(C562,B563),256)*16777216+_xlfn.BITXOR(C562,B563)*403,4294967296)</f>
        <v>0</v>
      </c>
    </row>
    <row r="564" spans="1:3">
      <c r="B564">
        <f>_xlfn.UNICODE(MID($B$544,20,1))</f>
        <v>0</v>
      </c>
      <c r="C564">
        <f>MOD(MOD(_xlfn.BITXOR(C563,B564),256)*16777216+_xlfn.BITXOR(C563,B564)*403,4294967296)</f>
        <v>0</v>
      </c>
    </row>
    <row r="565" spans="1:3">
      <c r="B565">
        <f>_xlfn.UNICODE(MID($B$544,21,1))</f>
        <v>0</v>
      </c>
      <c r="C565">
        <f>MOD(MOD(_xlfn.BITXOR(C564,B565),256)*16777216+_xlfn.BITXOR(C564,B565)*403,4294967296)</f>
        <v>0</v>
      </c>
    </row>
    <row r="566" spans="1:3">
      <c r="B566">
        <f>_xlfn.UNICODE(MID($B$544,22,1))</f>
        <v>0</v>
      </c>
      <c r="C566">
        <f>MOD(MOD(_xlfn.BITXOR(C565,B566),256)*16777216+_xlfn.BITXOR(C565,B566)*403,4294967296)</f>
        <v>0</v>
      </c>
    </row>
    <row r="567" spans="1:3">
      <c r="B567">
        <f>_xlfn.UNICODE(MID($B$544,23,1))</f>
        <v>0</v>
      </c>
      <c r="C567">
        <f>MOD(MOD(_xlfn.BITXOR(C566,B567),256)*16777216+_xlfn.BITXOR(C566,B567)*403,4294967296)</f>
        <v>0</v>
      </c>
    </row>
    <row r="568" spans="1:3">
      <c r="B568">
        <f>_xlfn.UNICODE(MID($B$544,24,1))</f>
        <v>0</v>
      </c>
      <c r="C568">
        <f>MOD(MOD(_xlfn.BITXOR(C567,B568),256)*16777216+_xlfn.BITXOR(C567,B568)*403,4294967296)</f>
        <v>0</v>
      </c>
    </row>
    <row r="569" spans="1:3">
      <c r="B569">
        <f>_xlfn.UNICODE(MID($B$544,25,1))</f>
        <v>0</v>
      </c>
      <c r="C569">
        <f>MOD(MOD(_xlfn.BITXOR(C568,B569),256)*16777216+_xlfn.BITXOR(C568,B569)*403,4294967296)</f>
        <v>0</v>
      </c>
    </row>
    <row r="570" spans="1:3">
      <c r="B570">
        <f>_xlfn.UNICODE(MID($B$544,26,1))</f>
        <v>0</v>
      </c>
      <c r="C570">
        <f>MOD(MOD(_xlfn.BITXOR(C569,B570),256)*16777216+_xlfn.BITXOR(C569,B570)*403,4294967296)</f>
        <v>0</v>
      </c>
    </row>
    <row r="571" spans="1:3">
      <c r="B571">
        <f>_xlfn.UNICODE(MID($B$544,27,1))</f>
        <v>0</v>
      </c>
      <c r="C571">
        <f>MOD(MOD(_xlfn.BITXOR(C570,B571),256)*16777216+_xlfn.BITXOR(C570,B571)*403,4294967296)</f>
        <v>0</v>
      </c>
    </row>
    <row r="572" spans="1:3">
      <c r="B572">
        <f>_xlfn.UNICODE(MID($B$544,28,1))</f>
        <v>0</v>
      </c>
      <c r="C572">
        <f>MOD(MOD(_xlfn.BITXOR(C571,B572),256)*16777216+_xlfn.BITXOR(C571,B572)*403,4294967296)</f>
        <v>0</v>
      </c>
    </row>
    <row r="573" spans="1:3">
      <c r="B573">
        <f>_xlfn.UNICODE(MID($B$544,29,1))</f>
        <v>0</v>
      </c>
      <c r="C573">
        <f>MOD(MOD(_xlfn.BITXOR(C572,B573),256)*16777216+_xlfn.BITXOR(C572,B573)*403,4294967296)</f>
        <v>0</v>
      </c>
    </row>
    <row r="574" spans="1:3">
      <c r="B574">
        <f>_xlfn.UNICODE(MID($B$544,30,1))</f>
        <v>0</v>
      </c>
      <c r="C574">
        <f>MOD(MOD(_xlfn.BITXOR(C573,B574),256)*16777216+_xlfn.BITXOR(C573,B574)*403,4294967296)</f>
        <v>0</v>
      </c>
    </row>
    <row r="575" spans="1:3">
      <c r="A575" t="s">
        <v>138</v>
      </c>
      <c r="B575">
        <f>"dzi"&amp;Calcul!$B$82&amp;16</f>
        <v>0</v>
      </c>
    </row>
    <row r="576" spans="1:3">
      <c r="B576">
        <f>_xlfn.UNICODE(MID($B$575,1,1))</f>
        <v>0</v>
      </c>
      <c r="C576">
        <f>MOD(MOD(_xlfn.BITXOR(C574,B576),256)*16777216+_xlfn.BITXOR(C574,B576)*403,4294967296)</f>
        <v>0</v>
      </c>
    </row>
    <row r="577" spans="2:3">
      <c r="B577">
        <f>_xlfn.UNICODE(MID($B$575,2,1))</f>
        <v>0</v>
      </c>
      <c r="C577">
        <f>MOD(MOD(_xlfn.BITXOR(C576,B577),256)*16777216+_xlfn.BITXOR(C576,B577)*403,4294967296)</f>
        <v>0</v>
      </c>
    </row>
    <row r="578" spans="2:3">
      <c r="B578">
        <f>_xlfn.UNICODE(MID($B$575,3,1))</f>
        <v>0</v>
      </c>
      <c r="C578">
        <f>MOD(MOD(_xlfn.BITXOR(C577,B578),256)*16777216+_xlfn.BITXOR(C577,B578)*403,4294967296)</f>
        <v>0</v>
      </c>
    </row>
    <row r="579" spans="2:3">
      <c r="B579">
        <f>_xlfn.UNICODE(MID($B$575,4,1))</f>
        <v>0</v>
      </c>
      <c r="C579">
        <f>MOD(MOD(_xlfn.BITXOR(C578,B579),256)*16777216+_xlfn.BITXOR(C578,B579)*403,4294967296)</f>
        <v>0</v>
      </c>
    </row>
    <row r="580" spans="2:3">
      <c r="B580">
        <f>_xlfn.UNICODE(MID($B$575,5,1))</f>
        <v>0</v>
      </c>
      <c r="C580">
        <f>MOD(MOD(_xlfn.BITXOR(C579,B580),256)*16777216+_xlfn.BITXOR(C579,B580)*403,4294967296)</f>
        <v>0</v>
      </c>
    </row>
    <row r="581" spans="2:3">
      <c r="B581">
        <f>_xlfn.UNICODE(MID($B$575,6,1))</f>
        <v>0</v>
      </c>
      <c r="C581">
        <f>MOD(MOD(_xlfn.BITXOR(C580,B581),256)*16777216+_xlfn.BITXOR(C580,B581)*403,4294967296)</f>
        <v>0</v>
      </c>
    </row>
    <row r="582" spans="2:3">
      <c r="B582">
        <f>_xlfn.UNICODE(MID($B$575,7,1))</f>
        <v>0</v>
      </c>
      <c r="C582">
        <f>MOD(MOD(_xlfn.BITXOR(C581,B582),256)*16777216+_xlfn.BITXOR(C581,B582)*403,4294967296)</f>
        <v>0</v>
      </c>
    </row>
    <row r="583" spans="2:3">
      <c r="B583">
        <f>_xlfn.UNICODE(MID($B$575,8,1))</f>
        <v>0</v>
      </c>
      <c r="C583">
        <f>MOD(MOD(_xlfn.BITXOR(C582,B583),256)*16777216+_xlfn.BITXOR(C582,B583)*403,4294967296)</f>
        <v>0</v>
      </c>
    </row>
    <row r="584" spans="2:3">
      <c r="B584">
        <f>_xlfn.UNICODE(MID($B$575,9,1))</f>
        <v>0</v>
      </c>
      <c r="C584">
        <f>MOD(MOD(_xlfn.BITXOR(C583,B584),256)*16777216+_xlfn.BITXOR(C583,B584)*403,4294967296)</f>
        <v>0</v>
      </c>
    </row>
    <row r="585" spans="2:3">
      <c r="B585">
        <f>_xlfn.UNICODE(MID($B$575,10,1))</f>
        <v>0</v>
      </c>
      <c r="C585">
        <f>MOD(MOD(_xlfn.BITXOR(C584,B585),256)*16777216+_xlfn.BITXOR(C584,B585)*403,4294967296)</f>
        <v>0</v>
      </c>
    </row>
    <row r="586" spans="2:3">
      <c r="B586">
        <f>_xlfn.UNICODE(MID($B$575,11,1))</f>
        <v>0</v>
      </c>
      <c r="C586">
        <f>MOD(MOD(_xlfn.BITXOR(C585,B586),256)*16777216+_xlfn.BITXOR(C585,B586)*403,4294967296)</f>
        <v>0</v>
      </c>
    </row>
    <row r="587" spans="2:3">
      <c r="B587">
        <f>_xlfn.UNICODE(MID($B$575,12,1))</f>
        <v>0</v>
      </c>
      <c r="C587">
        <f>MOD(MOD(_xlfn.BITXOR(C586,B587),256)*16777216+_xlfn.BITXOR(C586,B587)*403,4294967296)</f>
        <v>0</v>
      </c>
    </row>
    <row r="588" spans="2:3">
      <c r="B588">
        <f>_xlfn.UNICODE(MID($B$575,13,1))</f>
        <v>0</v>
      </c>
      <c r="C588">
        <f>MOD(MOD(_xlfn.BITXOR(C587,B588),256)*16777216+_xlfn.BITXOR(C587,B588)*403,4294967296)</f>
        <v>0</v>
      </c>
    </row>
    <row r="589" spans="2:3">
      <c r="B589">
        <f>_xlfn.UNICODE(MID($B$575,14,1))</f>
        <v>0</v>
      </c>
      <c r="C589">
        <f>MOD(MOD(_xlfn.BITXOR(C588,B589),256)*16777216+_xlfn.BITXOR(C588,B589)*403,4294967296)</f>
        <v>0</v>
      </c>
    </row>
    <row r="590" spans="2:3">
      <c r="B590">
        <f>_xlfn.UNICODE(MID($B$575,15,1))</f>
        <v>0</v>
      </c>
      <c r="C590">
        <f>MOD(MOD(_xlfn.BITXOR(C589,B590),256)*16777216+_xlfn.BITXOR(C589,B590)*403,4294967296)</f>
        <v>0</v>
      </c>
    </row>
    <row r="591" spans="2:3">
      <c r="B591">
        <f>_xlfn.UNICODE(MID($B$575,16,1))</f>
        <v>0</v>
      </c>
      <c r="C591">
        <f>MOD(MOD(_xlfn.BITXOR(C590,B591),256)*16777216+_xlfn.BITXOR(C590,B591)*403,4294967296)</f>
        <v>0</v>
      </c>
    </row>
    <row r="592" spans="2:3">
      <c r="B592">
        <f>_xlfn.UNICODE(MID($B$575,17,1))</f>
        <v>0</v>
      </c>
      <c r="C592">
        <f>MOD(MOD(_xlfn.BITXOR(C591,B592),256)*16777216+_xlfn.BITXOR(C591,B592)*403,4294967296)</f>
        <v>0</v>
      </c>
    </row>
    <row r="593" spans="1:3">
      <c r="B593">
        <f>_xlfn.UNICODE(MID($B$575,18,1))</f>
        <v>0</v>
      </c>
      <c r="C593">
        <f>MOD(MOD(_xlfn.BITXOR(C592,B593),256)*16777216+_xlfn.BITXOR(C592,B593)*403,4294967296)</f>
        <v>0</v>
      </c>
    </row>
    <row r="594" spans="1:3">
      <c r="B594">
        <f>_xlfn.UNICODE(MID($B$575,19,1))</f>
        <v>0</v>
      </c>
      <c r="C594">
        <f>MOD(MOD(_xlfn.BITXOR(C593,B594),256)*16777216+_xlfn.BITXOR(C593,B594)*403,4294967296)</f>
        <v>0</v>
      </c>
    </row>
    <row r="595" spans="1:3">
      <c r="B595">
        <f>_xlfn.UNICODE(MID($B$575,20,1))</f>
        <v>0</v>
      </c>
      <c r="C595">
        <f>MOD(MOD(_xlfn.BITXOR(C594,B595),256)*16777216+_xlfn.BITXOR(C594,B595)*403,4294967296)</f>
        <v>0</v>
      </c>
    </row>
    <row r="596" spans="1:3">
      <c r="B596">
        <f>_xlfn.UNICODE(MID($B$575,21,1))</f>
        <v>0</v>
      </c>
      <c r="C596">
        <f>MOD(MOD(_xlfn.BITXOR(C595,B596),256)*16777216+_xlfn.BITXOR(C595,B596)*403,4294967296)</f>
        <v>0</v>
      </c>
    </row>
    <row r="597" spans="1:3">
      <c r="B597">
        <f>_xlfn.UNICODE(MID($B$575,22,1))</f>
        <v>0</v>
      </c>
      <c r="C597">
        <f>MOD(MOD(_xlfn.BITXOR(C596,B597),256)*16777216+_xlfn.BITXOR(C596,B597)*403,4294967296)</f>
        <v>0</v>
      </c>
    </row>
    <row r="598" spans="1:3">
      <c r="B598">
        <f>_xlfn.UNICODE(MID($B$575,23,1))</f>
        <v>0</v>
      </c>
      <c r="C598">
        <f>MOD(MOD(_xlfn.BITXOR(C597,B598),256)*16777216+_xlfn.BITXOR(C597,B598)*403,4294967296)</f>
        <v>0</v>
      </c>
    </row>
    <row r="599" spans="1:3">
      <c r="B599">
        <f>_xlfn.UNICODE(MID($B$575,24,1))</f>
        <v>0</v>
      </c>
      <c r="C599">
        <f>MOD(MOD(_xlfn.BITXOR(C598,B599),256)*16777216+_xlfn.BITXOR(C598,B599)*403,4294967296)</f>
        <v>0</v>
      </c>
    </row>
    <row r="600" spans="1:3">
      <c r="B600">
        <f>_xlfn.UNICODE(MID($B$575,25,1))</f>
        <v>0</v>
      </c>
      <c r="C600">
        <f>MOD(MOD(_xlfn.BITXOR(C599,B600),256)*16777216+_xlfn.BITXOR(C599,B600)*403,4294967296)</f>
        <v>0</v>
      </c>
    </row>
    <row r="601" spans="1:3">
      <c r="B601">
        <f>_xlfn.UNICODE(MID($B$575,26,1))</f>
        <v>0</v>
      </c>
      <c r="C601">
        <f>MOD(MOD(_xlfn.BITXOR(C600,B601),256)*16777216+_xlfn.BITXOR(C600,B601)*403,4294967296)</f>
        <v>0</v>
      </c>
    </row>
    <row r="602" spans="1:3">
      <c r="B602">
        <f>_xlfn.UNICODE(MID($B$575,27,1))</f>
        <v>0</v>
      </c>
      <c r="C602">
        <f>MOD(MOD(_xlfn.BITXOR(C601,B602),256)*16777216+_xlfn.BITXOR(C601,B602)*403,4294967296)</f>
        <v>0</v>
      </c>
    </row>
    <row r="603" spans="1:3">
      <c r="B603">
        <f>_xlfn.UNICODE(MID($B$575,28,1))</f>
        <v>0</v>
      </c>
      <c r="C603">
        <f>MOD(MOD(_xlfn.BITXOR(C602,B603),256)*16777216+_xlfn.BITXOR(C602,B603)*403,4294967296)</f>
        <v>0</v>
      </c>
    </row>
    <row r="604" spans="1:3">
      <c r="B604">
        <f>_xlfn.UNICODE(MID($B$575,29,1))</f>
        <v>0</v>
      </c>
      <c r="C604">
        <f>MOD(MOD(_xlfn.BITXOR(C603,B604),256)*16777216+_xlfn.BITXOR(C603,B604)*403,4294967296)</f>
        <v>0</v>
      </c>
    </row>
    <row r="605" spans="1:3">
      <c r="B605">
        <f>_xlfn.UNICODE(MID($B$575,30,1))</f>
        <v>0</v>
      </c>
      <c r="C605">
        <f>MOD(MOD(_xlfn.BITXOR(C604,B605),256)*16777216+_xlfn.BITXOR(C604,B605)*403,4294967296)</f>
        <v>0</v>
      </c>
    </row>
    <row r="606" spans="1:3">
      <c r="A606" t="s">
        <v>139</v>
      </c>
      <c r="B606">
        <f>"dzi"&amp;Calcul!$B$82&amp;18</f>
        <v>0</v>
      </c>
    </row>
    <row r="607" spans="1:3">
      <c r="B607">
        <f>_xlfn.UNICODE(MID($B$606,1,1))</f>
        <v>0</v>
      </c>
      <c r="C607">
        <f>MOD(MOD(_xlfn.BITXOR(C605,B607),256)*16777216+_xlfn.BITXOR(C605,B607)*403,4294967296)</f>
        <v>0</v>
      </c>
    </row>
    <row r="608" spans="1:3">
      <c r="B608">
        <f>_xlfn.UNICODE(MID($B$606,2,1))</f>
        <v>0</v>
      </c>
      <c r="C608">
        <f>MOD(MOD(_xlfn.BITXOR(C607,B608),256)*16777216+_xlfn.BITXOR(C607,B608)*403,4294967296)</f>
        <v>0</v>
      </c>
    </row>
    <row r="609" spans="2:3">
      <c r="B609">
        <f>_xlfn.UNICODE(MID($B$606,3,1))</f>
        <v>0</v>
      </c>
      <c r="C609">
        <f>MOD(MOD(_xlfn.BITXOR(C608,B609),256)*16777216+_xlfn.BITXOR(C608,B609)*403,4294967296)</f>
        <v>0</v>
      </c>
    </row>
    <row r="610" spans="2:3">
      <c r="B610">
        <f>_xlfn.UNICODE(MID($B$606,4,1))</f>
        <v>0</v>
      </c>
      <c r="C610">
        <f>MOD(MOD(_xlfn.BITXOR(C609,B610),256)*16777216+_xlfn.BITXOR(C609,B610)*403,4294967296)</f>
        <v>0</v>
      </c>
    </row>
    <row r="611" spans="2:3">
      <c r="B611">
        <f>_xlfn.UNICODE(MID($B$606,5,1))</f>
        <v>0</v>
      </c>
      <c r="C611">
        <f>MOD(MOD(_xlfn.BITXOR(C610,B611),256)*16777216+_xlfn.BITXOR(C610,B611)*403,4294967296)</f>
        <v>0</v>
      </c>
    </row>
    <row r="612" spans="2:3">
      <c r="B612">
        <f>_xlfn.UNICODE(MID($B$606,6,1))</f>
        <v>0</v>
      </c>
      <c r="C612">
        <f>MOD(MOD(_xlfn.BITXOR(C611,B612),256)*16777216+_xlfn.BITXOR(C611,B612)*403,4294967296)</f>
        <v>0</v>
      </c>
    </row>
    <row r="613" spans="2:3">
      <c r="B613">
        <f>_xlfn.UNICODE(MID($B$606,7,1))</f>
        <v>0</v>
      </c>
      <c r="C613">
        <f>MOD(MOD(_xlfn.BITXOR(C612,B613),256)*16777216+_xlfn.BITXOR(C612,B613)*403,4294967296)</f>
        <v>0</v>
      </c>
    </row>
    <row r="614" spans="2:3">
      <c r="B614">
        <f>_xlfn.UNICODE(MID($B$606,8,1))</f>
        <v>0</v>
      </c>
      <c r="C614">
        <f>MOD(MOD(_xlfn.BITXOR(C613,B614),256)*16777216+_xlfn.BITXOR(C613,B614)*403,4294967296)</f>
        <v>0</v>
      </c>
    </row>
    <row r="615" spans="2:3">
      <c r="B615">
        <f>_xlfn.UNICODE(MID($B$606,9,1))</f>
        <v>0</v>
      </c>
      <c r="C615">
        <f>MOD(MOD(_xlfn.BITXOR(C614,B615),256)*16777216+_xlfn.BITXOR(C614,B615)*403,4294967296)</f>
        <v>0</v>
      </c>
    </row>
    <row r="616" spans="2:3">
      <c r="B616">
        <f>_xlfn.UNICODE(MID($B$606,10,1))</f>
        <v>0</v>
      </c>
      <c r="C616">
        <f>MOD(MOD(_xlfn.BITXOR(C615,B616),256)*16777216+_xlfn.BITXOR(C615,B616)*403,4294967296)</f>
        <v>0</v>
      </c>
    </row>
    <row r="617" spans="2:3">
      <c r="B617">
        <f>_xlfn.UNICODE(MID($B$606,11,1))</f>
        <v>0</v>
      </c>
      <c r="C617">
        <f>MOD(MOD(_xlfn.BITXOR(C616,B617),256)*16777216+_xlfn.BITXOR(C616,B617)*403,4294967296)</f>
        <v>0</v>
      </c>
    </row>
    <row r="618" spans="2:3">
      <c r="B618">
        <f>_xlfn.UNICODE(MID($B$606,12,1))</f>
        <v>0</v>
      </c>
      <c r="C618">
        <f>MOD(MOD(_xlfn.BITXOR(C617,B618),256)*16777216+_xlfn.BITXOR(C617,B618)*403,4294967296)</f>
        <v>0</v>
      </c>
    </row>
    <row r="619" spans="2:3">
      <c r="B619">
        <f>_xlfn.UNICODE(MID($B$606,13,1))</f>
        <v>0</v>
      </c>
      <c r="C619">
        <f>MOD(MOD(_xlfn.BITXOR(C618,B619),256)*16777216+_xlfn.BITXOR(C618,B619)*403,4294967296)</f>
        <v>0</v>
      </c>
    </row>
    <row r="620" spans="2:3">
      <c r="B620">
        <f>_xlfn.UNICODE(MID($B$606,14,1))</f>
        <v>0</v>
      </c>
      <c r="C620">
        <f>MOD(MOD(_xlfn.BITXOR(C619,B620),256)*16777216+_xlfn.BITXOR(C619,B620)*403,4294967296)</f>
        <v>0</v>
      </c>
    </row>
    <row r="621" spans="2:3">
      <c r="B621">
        <f>_xlfn.UNICODE(MID($B$606,15,1))</f>
        <v>0</v>
      </c>
      <c r="C621">
        <f>MOD(MOD(_xlfn.BITXOR(C620,B621),256)*16777216+_xlfn.BITXOR(C620,B621)*403,4294967296)</f>
        <v>0</v>
      </c>
    </row>
    <row r="622" spans="2:3">
      <c r="B622">
        <f>_xlfn.UNICODE(MID($B$606,16,1))</f>
        <v>0</v>
      </c>
      <c r="C622">
        <f>MOD(MOD(_xlfn.BITXOR(C621,B622),256)*16777216+_xlfn.BITXOR(C621,B622)*403,4294967296)</f>
        <v>0</v>
      </c>
    </row>
    <row r="623" spans="2:3">
      <c r="B623">
        <f>_xlfn.UNICODE(MID($B$606,17,1))</f>
        <v>0</v>
      </c>
      <c r="C623">
        <f>MOD(MOD(_xlfn.BITXOR(C622,B623),256)*16777216+_xlfn.BITXOR(C622,B623)*403,4294967296)</f>
        <v>0</v>
      </c>
    </row>
    <row r="624" spans="2:3">
      <c r="B624">
        <f>_xlfn.UNICODE(MID($B$606,18,1))</f>
        <v>0</v>
      </c>
      <c r="C624">
        <f>MOD(MOD(_xlfn.BITXOR(C623,B624),256)*16777216+_xlfn.BITXOR(C623,B624)*403,4294967296)</f>
        <v>0</v>
      </c>
    </row>
    <row r="625" spans="1:3">
      <c r="B625">
        <f>_xlfn.UNICODE(MID($B$606,19,1))</f>
        <v>0</v>
      </c>
      <c r="C625">
        <f>MOD(MOD(_xlfn.BITXOR(C624,B625),256)*16777216+_xlfn.BITXOR(C624,B625)*403,4294967296)</f>
        <v>0</v>
      </c>
    </row>
    <row r="626" spans="1:3">
      <c r="B626">
        <f>_xlfn.UNICODE(MID($B$606,20,1))</f>
        <v>0</v>
      </c>
      <c r="C626">
        <f>MOD(MOD(_xlfn.BITXOR(C625,B626),256)*16777216+_xlfn.BITXOR(C625,B626)*403,4294967296)</f>
        <v>0</v>
      </c>
    </row>
    <row r="627" spans="1:3">
      <c r="B627">
        <f>_xlfn.UNICODE(MID($B$606,21,1))</f>
        <v>0</v>
      </c>
      <c r="C627">
        <f>MOD(MOD(_xlfn.BITXOR(C626,B627),256)*16777216+_xlfn.BITXOR(C626,B627)*403,4294967296)</f>
        <v>0</v>
      </c>
    </row>
    <row r="628" spans="1:3">
      <c r="B628">
        <f>_xlfn.UNICODE(MID($B$606,22,1))</f>
        <v>0</v>
      </c>
      <c r="C628">
        <f>MOD(MOD(_xlfn.BITXOR(C627,B628),256)*16777216+_xlfn.BITXOR(C627,B628)*403,4294967296)</f>
        <v>0</v>
      </c>
    </row>
    <row r="629" spans="1:3">
      <c r="B629">
        <f>_xlfn.UNICODE(MID($B$606,23,1))</f>
        <v>0</v>
      </c>
      <c r="C629">
        <f>MOD(MOD(_xlfn.BITXOR(C628,B629),256)*16777216+_xlfn.BITXOR(C628,B629)*403,4294967296)</f>
        <v>0</v>
      </c>
    </row>
    <row r="630" spans="1:3">
      <c r="B630">
        <f>_xlfn.UNICODE(MID($B$606,24,1))</f>
        <v>0</v>
      </c>
      <c r="C630">
        <f>MOD(MOD(_xlfn.BITXOR(C629,B630),256)*16777216+_xlfn.BITXOR(C629,B630)*403,4294967296)</f>
        <v>0</v>
      </c>
    </row>
    <row r="631" spans="1:3">
      <c r="B631">
        <f>_xlfn.UNICODE(MID($B$606,25,1))</f>
        <v>0</v>
      </c>
      <c r="C631">
        <f>MOD(MOD(_xlfn.BITXOR(C630,B631),256)*16777216+_xlfn.BITXOR(C630,B631)*403,4294967296)</f>
        <v>0</v>
      </c>
    </row>
    <row r="632" spans="1:3">
      <c r="B632">
        <f>_xlfn.UNICODE(MID($B$606,26,1))</f>
        <v>0</v>
      </c>
      <c r="C632">
        <f>MOD(MOD(_xlfn.BITXOR(C631,B632),256)*16777216+_xlfn.BITXOR(C631,B632)*403,4294967296)</f>
        <v>0</v>
      </c>
    </row>
    <row r="633" spans="1:3">
      <c r="B633">
        <f>_xlfn.UNICODE(MID($B$606,27,1))</f>
        <v>0</v>
      </c>
      <c r="C633">
        <f>MOD(MOD(_xlfn.BITXOR(C632,B633),256)*16777216+_xlfn.BITXOR(C632,B633)*403,4294967296)</f>
        <v>0</v>
      </c>
    </row>
    <row r="634" spans="1:3">
      <c r="B634">
        <f>_xlfn.UNICODE(MID($B$606,28,1))</f>
        <v>0</v>
      </c>
      <c r="C634">
        <f>MOD(MOD(_xlfn.BITXOR(C633,B634),256)*16777216+_xlfn.BITXOR(C633,B634)*403,4294967296)</f>
        <v>0</v>
      </c>
    </row>
    <row r="635" spans="1:3">
      <c r="B635">
        <f>_xlfn.UNICODE(MID($B$606,29,1))</f>
        <v>0</v>
      </c>
      <c r="C635">
        <f>MOD(MOD(_xlfn.BITXOR(C634,B635),256)*16777216+_xlfn.BITXOR(C634,B635)*403,4294967296)</f>
        <v>0</v>
      </c>
    </row>
    <row r="636" spans="1:3">
      <c r="B636">
        <f>_xlfn.UNICODE(MID($B$606,30,1))</f>
        <v>0</v>
      </c>
      <c r="C636">
        <f>MOD(MOD(_xlfn.BITXOR(C635,B636),256)*16777216+_xlfn.BITXOR(C635,B636)*403,4294967296)</f>
        <v>0</v>
      </c>
    </row>
    <row r="637" spans="1:3">
      <c r="A637" t="s">
        <v>136</v>
      </c>
      <c r="B637">
        <f>LEFT(MID('Paramètres'!$D$2,MOD(C361,32)+1,1)&amp;MID('Paramètres'!$D$2,MOD(INT(C361/32),32)+1,1)&amp;MID('Paramètres'!$D$2,MOD(C391,32)+1,1)&amp;MID('Paramètres'!$D$2,MOD(INT(C391/32),32)+1,1)&amp;MID('Paramètres'!$D$2,MOD(C421,32)+1,1)&amp;MID('Paramètres'!$D$2,MOD(INT(C421/32),32)+1,1)&amp;MID('Paramètres'!$D$2,MOD(C451,32)+1,1)&amp;MID('Paramètres'!$D$2,MOD(INT(C451/32),32)+1,1)&amp;MID('Paramètres'!$D$2,MOD(C481,32)+1,1)&amp;MID('Paramètres'!$D$2,MOD(INT(C481/32),32)+1,1)&amp;MID('Paramètres'!$D$2,MOD(C512,32)+1,1)&amp;MID('Paramètres'!$D$2,MOD(INT(C512/32),32)+1,1)&amp;MID('Paramètres'!$D$2,MOD(C543,32)+1,1)&amp;MID('Paramètres'!$D$2,MOD(INT(C543/32),32)+1,1)&amp;MID('Paramètres'!$D$2,MOD(C574,32)+1,1)&amp;MID('Paramètres'!$D$2,MOD(INT(C574/32),32)+1,1)&amp;MID('Paramètres'!$D$2,MOD(C605,32)+1,1)&amp;MID('Paramètres'!$D$2,MOD(INT(C605/32),32)+1,1)&amp;MID('Paramètres'!$D$2,MOD(C636,32)+1,1)&amp;MID('Paramètres'!$D$2,MOD(INT(C636/32),32)+1,1),20)</f>
        <v>0</v>
      </c>
    </row>
    <row r="639" spans="1:3">
      <c r="A639" s="50" t="s">
        <v>140</v>
      </c>
    </row>
    <row r="640" spans="1:3">
      <c r="A640" t="s">
        <v>128</v>
      </c>
      <c r="B640">
        <f>"rty"&amp;Calcul!$B$82&amp;0</f>
        <v>0</v>
      </c>
    </row>
    <row r="641" spans="2:3">
      <c r="B641">
        <f>_xlfn.UNICODE(MID($B$640,1,1))</f>
        <v>0</v>
      </c>
      <c r="C641">
        <f>MOD(MOD(_xlfn.BITXOR(2166136261,B641),256)*16777216+_xlfn.BITXOR(2166136261,B641)*403,4294967296)</f>
        <v>0</v>
      </c>
    </row>
    <row r="642" spans="2:3">
      <c r="B642">
        <f>_xlfn.UNICODE(MID($B$640,2,1))</f>
        <v>0</v>
      </c>
      <c r="C642">
        <f>MOD(MOD(_xlfn.BITXOR(C641,B642),256)*16777216+_xlfn.BITXOR(C641,B642)*403,4294967296)</f>
        <v>0</v>
      </c>
    </row>
    <row r="643" spans="2:3">
      <c r="B643">
        <f>_xlfn.UNICODE(MID($B$640,3,1))</f>
        <v>0</v>
      </c>
      <c r="C643">
        <f>MOD(MOD(_xlfn.BITXOR(C642,B643),256)*16777216+_xlfn.BITXOR(C642,B643)*403,4294967296)</f>
        <v>0</v>
      </c>
    </row>
    <row r="644" spans="2:3">
      <c r="B644">
        <f>_xlfn.UNICODE(MID($B$640,4,1))</f>
        <v>0</v>
      </c>
      <c r="C644">
        <f>MOD(MOD(_xlfn.BITXOR(C643,B644),256)*16777216+_xlfn.BITXOR(C643,B644)*403,4294967296)</f>
        <v>0</v>
      </c>
    </row>
    <row r="645" spans="2:3">
      <c r="B645">
        <f>_xlfn.UNICODE(MID($B$640,5,1))</f>
        <v>0</v>
      </c>
      <c r="C645">
        <f>MOD(MOD(_xlfn.BITXOR(C644,B645),256)*16777216+_xlfn.BITXOR(C644,B645)*403,4294967296)</f>
        <v>0</v>
      </c>
    </row>
    <row r="646" spans="2:3">
      <c r="B646">
        <f>_xlfn.UNICODE(MID($B$640,6,1))</f>
        <v>0</v>
      </c>
      <c r="C646">
        <f>MOD(MOD(_xlfn.BITXOR(C645,B646),256)*16777216+_xlfn.BITXOR(C645,B646)*403,4294967296)</f>
        <v>0</v>
      </c>
    </row>
    <row r="647" spans="2:3">
      <c r="B647">
        <f>_xlfn.UNICODE(MID($B$640,7,1))</f>
        <v>0</v>
      </c>
      <c r="C647">
        <f>MOD(MOD(_xlfn.BITXOR(C646,B647),256)*16777216+_xlfn.BITXOR(C646,B647)*403,4294967296)</f>
        <v>0</v>
      </c>
    </row>
    <row r="648" spans="2:3">
      <c r="B648">
        <f>_xlfn.UNICODE(MID($B$640,8,1))</f>
        <v>0</v>
      </c>
      <c r="C648">
        <f>MOD(MOD(_xlfn.BITXOR(C647,B648),256)*16777216+_xlfn.BITXOR(C647,B648)*403,4294967296)</f>
        <v>0</v>
      </c>
    </row>
    <row r="649" spans="2:3">
      <c r="B649">
        <f>_xlfn.UNICODE(MID($B$640,9,1))</f>
        <v>0</v>
      </c>
      <c r="C649">
        <f>MOD(MOD(_xlfn.BITXOR(C648,B649),256)*16777216+_xlfn.BITXOR(C648,B649)*403,4294967296)</f>
        <v>0</v>
      </c>
    </row>
    <row r="650" spans="2:3">
      <c r="B650">
        <f>_xlfn.UNICODE(MID($B$640,10,1))</f>
        <v>0</v>
      </c>
      <c r="C650">
        <f>MOD(MOD(_xlfn.BITXOR(C649,B650),256)*16777216+_xlfn.BITXOR(C649,B650)*403,4294967296)</f>
        <v>0</v>
      </c>
    </row>
    <row r="651" spans="2:3">
      <c r="B651">
        <f>_xlfn.UNICODE(MID($B$640,11,1))</f>
        <v>0</v>
      </c>
      <c r="C651">
        <f>MOD(MOD(_xlfn.BITXOR(C650,B651),256)*16777216+_xlfn.BITXOR(C650,B651)*403,4294967296)</f>
        <v>0</v>
      </c>
    </row>
    <row r="652" spans="2:3">
      <c r="B652">
        <f>_xlfn.UNICODE(MID($B$640,12,1))</f>
        <v>0</v>
      </c>
      <c r="C652">
        <f>MOD(MOD(_xlfn.BITXOR(C651,B652),256)*16777216+_xlfn.BITXOR(C651,B652)*403,4294967296)</f>
        <v>0</v>
      </c>
    </row>
    <row r="653" spans="2:3">
      <c r="B653">
        <f>_xlfn.UNICODE(MID($B$640,13,1))</f>
        <v>0</v>
      </c>
      <c r="C653">
        <f>MOD(MOD(_xlfn.BITXOR(C652,B653),256)*16777216+_xlfn.BITXOR(C652,B653)*403,4294967296)</f>
        <v>0</v>
      </c>
    </row>
    <row r="654" spans="2:3">
      <c r="B654">
        <f>_xlfn.UNICODE(MID($B$640,14,1))</f>
        <v>0</v>
      </c>
      <c r="C654">
        <f>MOD(MOD(_xlfn.BITXOR(C653,B654),256)*16777216+_xlfn.BITXOR(C653,B654)*403,4294967296)</f>
        <v>0</v>
      </c>
    </row>
    <row r="655" spans="2:3">
      <c r="B655">
        <f>_xlfn.UNICODE(MID($B$640,15,1))</f>
        <v>0</v>
      </c>
      <c r="C655">
        <f>MOD(MOD(_xlfn.BITXOR(C654,B655),256)*16777216+_xlfn.BITXOR(C654,B655)*403,4294967296)</f>
        <v>0</v>
      </c>
    </row>
    <row r="656" spans="2:3">
      <c r="B656">
        <f>_xlfn.UNICODE(MID($B$640,16,1))</f>
        <v>0</v>
      </c>
      <c r="C656">
        <f>MOD(MOD(_xlfn.BITXOR(C655,B656),256)*16777216+_xlfn.BITXOR(C655,B656)*403,4294967296)</f>
        <v>0</v>
      </c>
    </row>
    <row r="657" spans="1:3">
      <c r="B657">
        <f>_xlfn.UNICODE(MID($B$640,17,1))</f>
        <v>0</v>
      </c>
      <c r="C657">
        <f>MOD(MOD(_xlfn.BITXOR(C656,B657),256)*16777216+_xlfn.BITXOR(C656,B657)*403,4294967296)</f>
        <v>0</v>
      </c>
    </row>
    <row r="658" spans="1:3">
      <c r="B658">
        <f>_xlfn.UNICODE(MID($B$640,18,1))</f>
        <v>0</v>
      </c>
      <c r="C658">
        <f>MOD(MOD(_xlfn.BITXOR(C657,B658),256)*16777216+_xlfn.BITXOR(C657,B658)*403,4294967296)</f>
        <v>0</v>
      </c>
    </row>
    <row r="659" spans="1:3">
      <c r="B659">
        <f>_xlfn.UNICODE(MID($B$640,19,1))</f>
        <v>0</v>
      </c>
      <c r="C659">
        <f>MOD(MOD(_xlfn.BITXOR(C658,B659),256)*16777216+_xlfn.BITXOR(C658,B659)*403,4294967296)</f>
        <v>0</v>
      </c>
    </row>
    <row r="660" spans="1:3">
      <c r="B660">
        <f>_xlfn.UNICODE(MID($B$640,20,1))</f>
        <v>0</v>
      </c>
      <c r="C660">
        <f>MOD(MOD(_xlfn.BITXOR(C659,B660),256)*16777216+_xlfn.BITXOR(C659,B660)*403,4294967296)</f>
        <v>0</v>
      </c>
    </row>
    <row r="661" spans="1:3">
      <c r="B661">
        <f>_xlfn.UNICODE(MID($B$640,21,1))</f>
        <v>0</v>
      </c>
      <c r="C661">
        <f>MOD(MOD(_xlfn.BITXOR(C660,B661),256)*16777216+_xlfn.BITXOR(C660,B661)*403,4294967296)</f>
        <v>0</v>
      </c>
    </row>
    <row r="662" spans="1:3">
      <c r="B662">
        <f>_xlfn.UNICODE(MID($B$640,22,1))</f>
        <v>0</v>
      </c>
      <c r="C662">
        <f>MOD(MOD(_xlfn.BITXOR(C661,B662),256)*16777216+_xlfn.BITXOR(C661,B662)*403,4294967296)</f>
        <v>0</v>
      </c>
    </row>
    <row r="663" spans="1:3">
      <c r="B663">
        <f>_xlfn.UNICODE(MID($B$640,23,1))</f>
        <v>0</v>
      </c>
      <c r="C663">
        <f>MOD(MOD(_xlfn.BITXOR(C662,B663),256)*16777216+_xlfn.BITXOR(C662,B663)*403,4294967296)</f>
        <v>0</v>
      </c>
    </row>
    <row r="664" spans="1:3">
      <c r="B664">
        <f>_xlfn.UNICODE(MID($B$640,24,1))</f>
        <v>0</v>
      </c>
      <c r="C664">
        <f>MOD(MOD(_xlfn.BITXOR(C663,B664),256)*16777216+_xlfn.BITXOR(C663,B664)*403,4294967296)</f>
        <v>0</v>
      </c>
    </row>
    <row r="665" spans="1:3">
      <c r="B665">
        <f>_xlfn.UNICODE(MID($B$640,25,1))</f>
        <v>0</v>
      </c>
      <c r="C665">
        <f>MOD(MOD(_xlfn.BITXOR(C664,B665),256)*16777216+_xlfn.BITXOR(C664,B665)*403,4294967296)</f>
        <v>0</v>
      </c>
    </row>
    <row r="666" spans="1:3">
      <c r="B666">
        <f>_xlfn.UNICODE(MID($B$640,26,1))</f>
        <v>0</v>
      </c>
      <c r="C666">
        <f>MOD(MOD(_xlfn.BITXOR(C665,B666),256)*16777216+_xlfn.BITXOR(C665,B666)*403,4294967296)</f>
        <v>0</v>
      </c>
    </row>
    <row r="667" spans="1:3">
      <c r="B667">
        <f>_xlfn.UNICODE(MID($B$640,27,1))</f>
        <v>0</v>
      </c>
      <c r="C667">
        <f>MOD(MOD(_xlfn.BITXOR(C666,B667),256)*16777216+_xlfn.BITXOR(C666,B667)*403,4294967296)</f>
        <v>0</v>
      </c>
    </row>
    <row r="668" spans="1:3">
      <c r="B668">
        <f>_xlfn.UNICODE(MID($B$640,28,1))</f>
        <v>0</v>
      </c>
      <c r="C668">
        <f>MOD(MOD(_xlfn.BITXOR(C667,B668),256)*16777216+_xlfn.BITXOR(C667,B668)*403,4294967296)</f>
        <v>0</v>
      </c>
    </row>
    <row r="669" spans="1:3">
      <c r="B669">
        <f>_xlfn.UNICODE(MID($B$640,29,1))</f>
        <v>0</v>
      </c>
      <c r="C669">
        <f>MOD(MOD(_xlfn.BITXOR(C668,B669),256)*16777216+_xlfn.BITXOR(C668,B669)*403,4294967296)</f>
        <v>0</v>
      </c>
    </row>
    <row r="670" spans="1:3">
      <c r="A670" t="s">
        <v>129</v>
      </c>
      <c r="B670">
        <f>"rty"&amp;Calcul!$B$82&amp;2</f>
        <v>0</v>
      </c>
    </row>
    <row r="671" spans="1:3">
      <c r="B671">
        <f>_xlfn.UNICODE(MID($B$670,1,1))</f>
        <v>0</v>
      </c>
      <c r="C671">
        <f>MOD(MOD(_xlfn.BITXOR(C669,B671),256)*16777216+_xlfn.BITXOR(C669,B671)*403,4294967296)</f>
        <v>0</v>
      </c>
    </row>
    <row r="672" spans="1:3">
      <c r="B672">
        <f>_xlfn.UNICODE(MID($B$670,2,1))</f>
        <v>0</v>
      </c>
      <c r="C672">
        <f>MOD(MOD(_xlfn.BITXOR(C671,B672),256)*16777216+_xlfn.BITXOR(C671,B672)*403,4294967296)</f>
        <v>0</v>
      </c>
    </row>
    <row r="673" spans="2:3">
      <c r="B673">
        <f>_xlfn.UNICODE(MID($B$670,3,1))</f>
        <v>0</v>
      </c>
      <c r="C673">
        <f>MOD(MOD(_xlfn.BITXOR(C672,B673),256)*16777216+_xlfn.BITXOR(C672,B673)*403,4294967296)</f>
        <v>0</v>
      </c>
    </row>
    <row r="674" spans="2:3">
      <c r="B674">
        <f>_xlfn.UNICODE(MID($B$670,4,1))</f>
        <v>0</v>
      </c>
      <c r="C674">
        <f>MOD(MOD(_xlfn.BITXOR(C673,B674),256)*16777216+_xlfn.BITXOR(C673,B674)*403,4294967296)</f>
        <v>0</v>
      </c>
    </row>
    <row r="675" spans="2:3">
      <c r="B675">
        <f>_xlfn.UNICODE(MID($B$670,5,1))</f>
        <v>0</v>
      </c>
      <c r="C675">
        <f>MOD(MOD(_xlfn.BITXOR(C674,B675),256)*16777216+_xlfn.BITXOR(C674,B675)*403,4294967296)</f>
        <v>0</v>
      </c>
    </row>
    <row r="676" spans="2:3">
      <c r="B676">
        <f>_xlfn.UNICODE(MID($B$670,6,1))</f>
        <v>0</v>
      </c>
      <c r="C676">
        <f>MOD(MOD(_xlfn.BITXOR(C675,B676),256)*16777216+_xlfn.BITXOR(C675,B676)*403,4294967296)</f>
        <v>0</v>
      </c>
    </row>
    <row r="677" spans="2:3">
      <c r="B677">
        <f>_xlfn.UNICODE(MID($B$670,7,1))</f>
        <v>0</v>
      </c>
      <c r="C677">
        <f>MOD(MOD(_xlfn.BITXOR(C676,B677),256)*16777216+_xlfn.BITXOR(C676,B677)*403,4294967296)</f>
        <v>0</v>
      </c>
    </row>
    <row r="678" spans="2:3">
      <c r="B678">
        <f>_xlfn.UNICODE(MID($B$670,8,1))</f>
        <v>0</v>
      </c>
      <c r="C678">
        <f>MOD(MOD(_xlfn.BITXOR(C677,B678),256)*16777216+_xlfn.BITXOR(C677,B678)*403,4294967296)</f>
        <v>0</v>
      </c>
    </row>
    <row r="679" spans="2:3">
      <c r="B679">
        <f>_xlfn.UNICODE(MID($B$670,9,1))</f>
        <v>0</v>
      </c>
      <c r="C679">
        <f>MOD(MOD(_xlfn.BITXOR(C678,B679),256)*16777216+_xlfn.BITXOR(C678,B679)*403,4294967296)</f>
        <v>0</v>
      </c>
    </row>
    <row r="680" spans="2:3">
      <c r="B680">
        <f>_xlfn.UNICODE(MID($B$670,10,1))</f>
        <v>0</v>
      </c>
      <c r="C680">
        <f>MOD(MOD(_xlfn.BITXOR(C679,B680),256)*16777216+_xlfn.BITXOR(C679,B680)*403,4294967296)</f>
        <v>0</v>
      </c>
    </row>
    <row r="681" spans="2:3">
      <c r="B681">
        <f>_xlfn.UNICODE(MID($B$670,11,1))</f>
        <v>0</v>
      </c>
      <c r="C681">
        <f>MOD(MOD(_xlfn.BITXOR(C680,B681),256)*16777216+_xlfn.BITXOR(C680,B681)*403,4294967296)</f>
        <v>0</v>
      </c>
    </row>
    <row r="682" spans="2:3">
      <c r="B682">
        <f>_xlfn.UNICODE(MID($B$670,12,1))</f>
        <v>0</v>
      </c>
      <c r="C682">
        <f>MOD(MOD(_xlfn.BITXOR(C681,B682),256)*16777216+_xlfn.BITXOR(C681,B682)*403,4294967296)</f>
        <v>0</v>
      </c>
    </row>
    <row r="683" spans="2:3">
      <c r="B683">
        <f>_xlfn.UNICODE(MID($B$670,13,1))</f>
        <v>0</v>
      </c>
      <c r="C683">
        <f>MOD(MOD(_xlfn.BITXOR(C682,B683),256)*16777216+_xlfn.BITXOR(C682,B683)*403,4294967296)</f>
        <v>0</v>
      </c>
    </row>
    <row r="684" spans="2:3">
      <c r="B684">
        <f>_xlfn.UNICODE(MID($B$670,14,1))</f>
        <v>0</v>
      </c>
      <c r="C684">
        <f>MOD(MOD(_xlfn.BITXOR(C683,B684),256)*16777216+_xlfn.BITXOR(C683,B684)*403,4294967296)</f>
        <v>0</v>
      </c>
    </row>
    <row r="685" spans="2:3">
      <c r="B685">
        <f>_xlfn.UNICODE(MID($B$670,15,1))</f>
        <v>0</v>
      </c>
      <c r="C685">
        <f>MOD(MOD(_xlfn.BITXOR(C684,B685),256)*16777216+_xlfn.BITXOR(C684,B685)*403,4294967296)</f>
        <v>0</v>
      </c>
    </row>
    <row r="686" spans="2:3">
      <c r="B686">
        <f>_xlfn.UNICODE(MID($B$670,16,1))</f>
        <v>0</v>
      </c>
      <c r="C686">
        <f>MOD(MOD(_xlfn.BITXOR(C685,B686),256)*16777216+_xlfn.BITXOR(C685,B686)*403,4294967296)</f>
        <v>0</v>
      </c>
    </row>
    <row r="687" spans="2:3">
      <c r="B687">
        <f>_xlfn.UNICODE(MID($B$670,17,1))</f>
        <v>0</v>
      </c>
      <c r="C687">
        <f>MOD(MOD(_xlfn.BITXOR(C686,B687),256)*16777216+_xlfn.BITXOR(C686,B687)*403,4294967296)</f>
        <v>0</v>
      </c>
    </row>
    <row r="688" spans="2:3">
      <c r="B688">
        <f>_xlfn.UNICODE(MID($B$670,18,1))</f>
        <v>0</v>
      </c>
      <c r="C688">
        <f>MOD(MOD(_xlfn.BITXOR(C687,B688),256)*16777216+_xlfn.BITXOR(C687,B688)*403,4294967296)</f>
        <v>0</v>
      </c>
    </row>
    <row r="689" spans="1:3">
      <c r="B689">
        <f>_xlfn.UNICODE(MID($B$670,19,1))</f>
        <v>0</v>
      </c>
      <c r="C689">
        <f>MOD(MOD(_xlfn.BITXOR(C688,B689),256)*16777216+_xlfn.BITXOR(C688,B689)*403,4294967296)</f>
        <v>0</v>
      </c>
    </row>
    <row r="690" spans="1:3">
      <c r="B690">
        <f>_xlfn.UNICODE(MID($B$670,20,1))</f>
        <v>0</v>
      </c>
      <c r="C690">
        <f>MOD(MOD(_xlfn.BITXOR(C689,B690),256)*16777216+_xlfn.BITXOR(C689,B690)*403,4294967296)</f>
        <v>0</v>
      </c>
    </row>
    <row r="691" spans="1:3">
      <c r="B691">
        <f>_xlfn.UNICODE(MID($B$670,21,1))</f>
        <v>0</v>
      </c>
      <c r="C691">
        <f>MOD(MOD(_xlfn.BITXOR(C690,B691),256)*16777216+_xlfn.BITXOR(C690,B691)*403,4294967296)</f>
        <v>0</v>
      </c>
    </row>
    <row r="692" spans="1:3">
      <c r="B692">
        <f>_xlfn.UNICODE(MID($B$670,22,1))</f>
        <v>0</v>
      </c>
      <c r="C692">
        <f>MOD(MOD(_xlfn.BITXOR(C691,B692),256)*16777216+_xlfn.BITXOR(C691,B692)*403,4294967296)</f>
        <v>0</v>
      </c>
    </row>
    <row r="693" spans="1:3">
      <c r="B693">
        <f>_xlfn.UNICODE(MID($B$670,23,1))</f>
        <v>0</v>
      </c>
      <c r="C693">
        <f>MOD(MOD(_xlfn.BITXOR(C692,B693),256)*16777216+_xlfn.BITXOR(C692,B693)*403,4294967296)</f>
        <v>0</v>
      </c>
    </row>
    <row r="694" spans="1:3">
      <c r="B694">
        <f>_xlfn.UNICODE(MID($B$670,24,1))</f>
        <v>0</v>
      </c>
      <c r="C694">
        <f>MOD(MOD(_xlfn.BITXOR(C693,B694),256)*16777216+_xlfn.BITXOR(C693,B694)*403,4294967296)</f>
        <v>0</v>
      </c>
    </row>
    <row r="695" spans="1:3">
      <c r="B695">
        <f>_xlfn.UNICODE(MID($B$670,25,1))</f>
        <v>0</v>
      </c>
      <c r="C695">
        <f>MOD(MOD(_xlfn.BITXOR(C694,B695),256)*16777216+_xlfn.BITXOR(C694,B695)*403,4294967296)</f>
        <v>0</v>
      </c>
    </row>
    <row r="696" spans="1:3">
      <c r="B696">
        <f>_xlfn.UNICODE(MID($B$670,26,1))</f>
        <v>0</v>
      </c>
      <c r="C696">
        <f>MOD(MOD(_xlfn.BITXOR(C695,B696),256)*16777216+_xlfn.BITXOR(C695,B696)*403,4294967296)</f>
        <v>0</v>
      </c>
    </row>
    <row r="697" spans="1:3">
      <c r="B697">
        <f>_xlfn.UNICODE(MID($B$670,27,1))</f>
        <v>0</v>
      </c>
      <c r="C697">
        <f>MOD(MOD(_xlfn.BITXOR(C696,B697),256)*16777216+_xlfn.BITXOR(C696,B697)*403,4294967296)</f>
        <v>0</v>
      </c>
    </row>
    <row r="698" spans="1:3">
      <c r="B698">
        <f>_xlfn.UNICODE(MID($B$670,28,1))</f>
        <v>0</v>
      </c>
      <c r="C698">
        <f>MOD(MOD(_xlfn.BITXOR(C697,B698),256)*16777216+_xlfn.BITXOR(C697,B698)*403,4294967296)</f>
        <v>0</v>
      </c>
    </row>
    <row r="699" spans="1:3">
      <c r="B699">
        <f>_xlfn.UNICODE(MID($B$670,29,1))</f>
        <v>0</v>
      </c>
      <c r="C699">
        <f>MOD(MOD(_xlfn.BITXOR(C698,B699),256)*16777216+_xlfn.BITXOR(C698,B699)*403,4294967296)</f>
        <v>0</v>
      </c>
    </row>
    <row r="700" spans="1:3">
      <c r="A700" t="s">
        <v>130</v>
      </c>
      <c r="B700">
        <f>"rty"&amp;Calcul!$B$82&amp;4</f>
        <v>0</v>
      </c>
    </row>
    <row r="701" spans="1:3">
      <c r="B701">
        <f>_xlfn.UNICODE(MID($B$700,1,1))</f>
        <v>0</v>
      </c>
      <c r="C701">
        <f>MOD(MOD(_xlfn.BITXOR(C699,B701),256)*16777216+_xlfn.BITXOR(C699,B701)*403,4294967296)</f>
        <v>0</v>
      </c>
    </row>
    <row r="702" spans="1:3">
      <c r="B702">
        <f>_xlfn.UNICODE(MID($B$700,2,1))</f>
        <v>0</v>
      </c>
      <c r="C702">
        <f>MOD(MOD(_xlfn.BITXOR(C701,B702),256)*16777216+_xlfn.BITXOR(C701,B702)*403,4294967296)</f>
        <v>0</v>
      </c>
    </row>
    <row r="703" spans="1:3">
      <c r="B703">
        <f>_xlfn.UNICODE(MID($B$700,3,1))</f>
        <v>0</v>
      </c>
      <c r="C703">
        <f>MOD(MOD(_xlfn.BITXOR(C702,B703),256)*16777216+_xlfn.BITXOR(C702,B703)*403,4294967296)</f>
        <v>0</v>
      </c>
    </row>
    <row r="704" spans="1:3">
      <c r="B704">
        <f>_xlfn.UNICODE(MID($B$700,4,1))</f>
        <v>0</v>
      </c>
      <c r="C704">
        <f>MOD(MOD(_xlfn.BITXOR(C703,B704),256)*16777216+_xlfn.BITXOR(C703,B704)*403,4294967296)</f>
        <v>0</v>
      </c>
    </row>
    <row r="705" spans="2:3">
      <c r="B705">
        <f>_xlfn.UNICODE(MID($B$700,5,1))</f>
        <v>0</v>
      </c>
      <c r="C705">
        <f>MOD(MOD(_xlfn.BITXOR(C704,B705),256)*16777216+_xlfn.BITXOR(C704,B705)*403,4294967296)</f>
        <v>0</v>
      </c>
    </row>
    <row r="706" spans="2:3">
      <c r="B706">
        <f>_xlfn.UNICODE(MID($B$700,6,1))</f>
        <v>0</v>
      </c>
      <c r="C706">
        <f>MOD(MOD(_xlfn.BITXOR(C705,B706),256)*16777216+_xlfn.BITXOR(C705,B706)*403,4294967296)</f>
        <v>0</v>
      </c>
    </row>
    <row r="707" spans="2:3">
      <c r="B707">
        <f>_xlfn.UNICODE(MID($B$700,7,1))</f>
        <v>0</v>
      </c>
      <c r="C707">
        <f>MOD(MOD(_xlfn.BITXOR(C706,B707),256)*16777216+_xlfn.BITXOR(C706,B707)*403,4294967296)</f>
        <v>0</v>
      </c>
    </row>
    <row r="708" spans="2:3">
      <c r="B708">
        <f>_xlfn.UNICODE(MID($B$700,8,1))</f>
        <v>0</v>
      </c>
      <c r="C708">
        <f>MOD(MOD(_xlfn.BITXOR(C707,B708),256)*16777216+_xlfn.BITXOR(C707,B708)*403,4294967296)</f>
        <v>0</v>
      </c>
    </row>
    <row r="709" spans="2:3">
      <c r="B709">
        <f>_xlfn.UNICODE(MID($B$700,9,1))</f>
        <v>0</v>
      </c>
      <c r="C709">
        <f>MOD(MOD(_xlfn.BITXOR(C708,B709),256)*16777216+_xlfn.BITXOR(C708,B709)*403,4294967296)</f>
        <v>0</v>
      </c>
    </row>
    <row r="710" spans="2:3">
      <c r="B710">
        <f>_xlfn.UNICODE(MID($B$700,10,1))</f>
        <v>0</v>
      </c>
      <c r="C710">
        <f>MOD(MOD(_xlfn.BITXOR(C709,B710),256)*16777216+_xlfn.BITXOR(C709,B710)*403,4294967296)</f>
        <v>0</v>
      </c>
    </row>
    <row r="711" spans="2:3">
      <c r="B711">
        <f>_xlfn.UNICODE(MID($B$700,11,1))</f>
        <v>0</v>
      </c>
      <c r="C711">
        <f>MOD(MOD(_xlfn.BITXOR(C710,B711),256)*16777216+_xlfn.BITXOR(C710,B711)*403,4294967296)</f>
        <v>0</v>
      </c>
    </row>
    <row r="712" spans="2:3">
      <c r="B712">
        <f>_xlfn.UNICODE(MID($B$700,12,1))</f>
        <v>0</v>
      </c>
      <c r="C712">
        <f>MOD(MOD(_xlfn.BITXOR(C711,B712),256)*16777216+_xlfn.BITXOR(C711,B712)*403,4294967296)</f>
        <v>0</v>
      </c>
    </row>
    <row r="713" spans="2:3">
      <c r="B713">
        <f>_xlfn.UNICODE(MID($B$700,13,1))</f>
        <v>0</v>
      </c>
      <c r="C713">
        <f>MOD(MOD(_xlfn.BITXOR(C712,B713),256)*16777216+_xlfn.BITXOR(C712,B713)*403,4294967296)</f>
        <v>0</v>
      </c>
    </row>
    <row r="714" spans="2:3">
      <c r="B714">
        <f>_xlfn.UNICODE(MID($B$700,14,1))</f>
        <v>0</v>
      </c>
      <c r="C714">
        <f>MOD(MOD(_xlfn.BITXOR(C713,B714),256)*16777216+_xlfn.BITXOR(C713,B714)*403,4294967296)</f>
        <v>0</v>
      </c>
    </row>
    <row r="715" spans="2:3">
      <c r="B715">
        <f>_xlfn.UNICODE(MID($B$700,15,1))</f>
        <v>0</v>
      </c>
      <c r="C715">
        <f>MOD(MOD(_xlfn.BITXOR(C714,B715),256)*16777216+_xlfn.BITXOR(C714,B715)*403,4294967296)</f>
        <v>0</v>
      </c>
    </row>
    <row r="716" spans="2:3">
      <c r="B716">
        <f>_xlfn.UNICODE(MID($B$700,16,1))</f>
        <v>0</v>
      </c>
      <c r="C716">
        <f>MOD(MOD(_xlfn.BITXOR(C715,B716),256)*16777216+_xlfn.BITXOR(C715,B716)*403,4294967296)</f>
        <v>0</v>
      </c>
    </row>
    <row r="717" spans="2:3">
      <c r="B717">
        <f>_xlfn.UNICODE(MID($B$700,17,1))</f>
        <v>0</v>
      </c>
      <c r="C717">
        <f>MOD(MOD(_xlfn.BITXOR(C716,B717),256)*16777216+_xlfn.BITXOR(C716,B717)*403,4294967296)</f>
        <v>0</v>
      </c>
    </row>
    <row r="718" spans="2:3">
      <c r="B718">
        <f>_xlfn.UNICODE(MID($B$700,18,1))</f>
        <v>0</v>
      </c>
      <c r="C718">
        <f>MOD(MOD(_xlfn.BITXOR(C717,B718),256)*16777216+_xlfn.BITXOR(C717,B718)*403,4294967296)</f>
        <v>0</v>
      </c>
    </row>
    <row r="719" spans="2:3">
      <c r="B719">
        <f>_xlfn.UNICODE(MID($B$700,19,1))</f>
        <v>0</v>
      </c>
      <c r="C719">
        <f>MOD(MOD(_xlfn.BITXOR(C718,B719),256)*16777216+_xlfn.BITXOR(C718,B719)*403,4294967296)</f>
        <v>0</v>
      </c>
    </row>
    <row r="720" spans="2:3">
      <c r="B720">
        <f>_xlfn.UNICODE(MID($B$700,20,1))</f>
        <v>0</v>
      </c>
      <c r="C720">
        <f>MOD(MOD(_xlfn.BITXOR(C719,B720),256)*16777216+_xlfn.BITXOR(C719,B720)*403,4294967296)</f>
        <v>0</v>
      </c>
    </row>
    <row r="721" spans="1:3">
      <c r="B721">
        <f>_xlfn.UNICODE(MID($B$700,21,1))</f>
        <v>0</v>
      </c>
      <c r="C721">
        <f>MOD(MOD(_xlfn.BITXOR(C720,B721),256)*16777216+_xlfn.BITXOR(C720,B721)*403,4294967296)</f>
        <v>0</v>
      </c>
    </row>
    <row r="722" spans="1:3">
      <c r="B722">
        <f>_xlfn.UNICODE(MID($B$700,22,1))</f>
        <v>0</v>
      </c>
      <c r="C722">
        <f>MOD(MOD(_xlfn.BITXOR(C721,B722),256)*16777216+_xlfn.BITXOR(C721,B722)*403,4294967296)</f>
        <v>0</v>
      </c>
    </row>
    <row r="723" spans="1:3">
      <c r="B723">
        <f>_xlfn.UNICODE(MID($B$700,23,1))</f>
        <v>0</v>
      </c>
      <c r="C723">
        <f>MOD(MOD(_xlfn.BITXOR(C722,B723),256)*16777216+_xlfn.BITXOR(C722,B723)*403,4294967296)</f>
        <v>0</v>
      </c>
    </row>
    <row r="724" spans="1:3">
      <c r="B724">
        <f>_xlfn.UNICODE(MID($B$700,24,1))</f>
        <v>0</v>
      </c>
      <c r="C724">
        <f>MOD(MOD(_xlfn.BITXOR(C723,B724),256)*16777216+_xlfn.BITXOR(C723,B724)*403,4294967296)</f>
        <v>0</v>
      </c>
    </row>
    <row r="725" spans="1:3">
      <c r="B725">
        <f>_xlfn.UNICODE(MID($B$700,25,1))</f>
        <v>0</v>
      </c>
      <c r="C725">
        <f>MOD(MOD(_xlfn.BITXOR(C724,B725),256)*16777216+_xlfn.BITXOR(C724,B725)*403,4294967296)</f>
        <v>0</v>
      </c>
    </row>
    <row r="726" spans="1:3">
      <c r="B726">
        <f>_xlfn.UNICODE(MID($B$700,26,1))</f>
        <v>0</v>
      </c>
      <c r="C726">
        <f>MOD(MOD(_xlfn.BITXOR(C725,B726),256)*16777216+_xlfn.BITXOR(C725,B726)*403,4294967296)</f>
        <v>0</v>
      </c>
    </row>
    <row r="727" spans="1:3">
      <c r="B727">
        <f>_xlfn.UNICODE(MID($B$700,27,1))</f>
        <v>0</v>
      </c>
      <c r="C727">
        <f>MOD(MOD(_xlfn.BITXOR(C726,B727),256)*16777216+_xlfn.BITXOR(C726,B727)*403,4294967296)</f>
        <v>0</v>
      </c>
    </row>
    <row r="728" spans="1:3">
      <c r="B728">
        <f>_xlfn.UNICODE(MID($B$700,28,1))</f>
        <v>0</v>
      </c>
      <c r="C728">
        <f>MOD(MOD(_xlfn.BITXOR(C727,B728),256)*16777216+_xlfn.BITXOR(C727,B728)*403,4294967296)</f>
        <v>0</v>
      </c>
    </row>
    <row r="729" spans="1:3">
      <c r="B729">
        <f>_xlfn.UNICODE(MID($B$700,29,1))</f>
        <v>0</v>
      </c>
      <c r="C729">
        <f>MOD(MOD(_xlfn.BITXOR(C728,B729),256)*16777216+_xlfn.BITXOR(C728,B729)*403,4294967296)</f>
        <v>0</v>
      </c>
    </row>
    <row r="730" spans="1:3">
      <c r="A730" t="s">
        <v>131</v>
      </c>
      <c r="B730">
        <f>"rty"&amp;Calcul!$B$82&amp;6</f>
        <v>0</v>
      </c>
    </row>
    <row r="731" spans="1:3">
      <c r="B731">
        <f>_xlfn.UNICODE(MID($B$730,1,1))</f>
        <v>0</v>
      </c>
      <c r="C731">
        <f>MOD(MOD(_xlfn.BITXOR(C729,B731),256)*16777216+_xlfn.BITXOR(C729,B731)*403,4294967296)</f>
        <v>0</v>
      </c>
    </row>
    <row r="732" spans="1:3">
      <c r="B732">
        <f>_xlfn.UNICODE(MID($B$730,2,1))</f>
        <v>0</v>
      </c>
      <c r="C732">
        <f>MOD(MOD(_xlfn.BITXOR(C731,B732),256)*16777216+_xlfn.BITXOR(C731,B732)*403,4294967296)</f>
        <v>0</v>
      </c>
    </row>
    <row r="733" spans="1:3">
      <c r="B733">
        <f>_xlfn.UNICODE(MID($B$730,3,1))</f>
        <v>0</v>
      </c>
      <c r="C733">
        <f>MOD(MOD(_xlfn.BITXOR(C732,B733),256)*16777216+_xlfn.BITXOR(C732,B733)*403,4294967296)</f>
        <v>0</v>
      </c>
    </row>
    <row r="734" spans="1:3">
      <c r="B734">
        <f>_xlfn.UNICODE(MID($B$730,4,1))</f>
        <v>0</v>
      </c>
      <c r="C734">
        <f>MOD(MOD(_xlfn.BITXOR(C733,B734),256)*16777216+_xlfn.BITXOR(C733,B734)*403,4294967296)</f>
        <v>0</v>
      </c>
    </row>
    <row r="735" spans="1:3">
      <c r="B735">
        <f>_xlfn.UNICODE(MID($B$730,5,1))</f>
        <v>0</v>
      </c>
      <c r="C735">
        <f>MOD(MOD(_xlfn.BITXOR(C734,B735),256)*16777216+_xlfn.BITXOR(C734,B735)*403,4294967296)</f>
        <v>0</v>
      </c>
    </row>
    <row r="736" spans="1:3">
      <c r="B736">
        <f>_xlfn.UNICODE(MID($B$730,6,1))</f>
        <v>0</v>
      </c>
      <c r="C736">
        <f>MOD(MOD(_xlfn.BITXOR(C735,B736),256)*16777216+_xlfn.BITXOR(C735,B736)*403,4294967296)</f>
        <v>0</v>
      </c>
    </row>
    <row r="737" spans="2:3">
      <c r="B737">
        <f>_xlfn.UNICODE(MID($B$730,7,1))</f>
        <v>0</v>
      </c>
      <c r="C737">
        <f>MOD(MOD(_xlfn.BITXOR(C736,B737),256)*16777216+_xlfn.BITXOR(C736,B737)*403,4294967296)</f>
        <v>0</v>
      </c>
    </row>
    <row r="738" spans="2:3">
      <c r="B738">
        <f>_xlfn.UNICODE(MID($B$730,8,1))</f>
        <v>0</v>
      </c>
      <c r="C738">
        <f>MOD(MOD(_xlfn.BITXOR(C737,B738),256)*16777216+_xlfn.BITXOR(C737,B738)*403,4294967296)</f>
        <v>0</v>
      </c>
    </row>
    <row r="739" spans="2:3">
      <c r="B739">
        <f>_xlfn.UNICODE(MID($B$730,9,1))</f>
        <v>0</v>
      </c>
      <c r="C739">
        <f>MOD(MOD(_xlfn.BITXOR(C738,B739),256)*16777216+_xlfn.BITXOR(C738,B739)*403,4294967296)</f>
        <v>0</v>
      </c>
    </row>
    <row r="740" spans="2:3">
      <c r="B740">
        <f>_xlfn.UNICODE(MID($B$730,10,1))</f>
        <v>0</v>
      </c>
      <c r="C740">
        <f>MOD(MOD(_xlfn.BITXOR(C739,B740),256)*16777216+_xlfn.BITXOR(C739,B740)*403,4294967296)</f>
        <v>0</v>
      </c>
    </row>
    <row r="741" spans="2:3">
      <c r="B741">
        <f>_xlfn.UNICODE(MID($B$730,11,1))</f>
        <v>0</v>
      </c>
      <c r="C741">
        <f>MOD(MOD(_xlfn.BITXOR(C740,B741),256)*16777216+_xlfn.BITXOR(C740,B741)*403,4294967296)</f>
        <v>0</v>
      </c>
    </row>
    <row r="742" spans="2:3">
      <c r="B742">
        <f>_xlfn.UNICODE(MID($B$730,12,1))</f>
        <v>0</v>
      </c>
      <c r="C742">
        <f>MOD(MOD(_xlfn.BITXOR(C741,B742),256)*16777216+_xlfn.BITXOR(C741,B742)*403,4294967296)</f>
        <v>0</v>
      </c>
    </row>
    <row r="743" spans="2:3">
      <c r="B743">
        <f>_xlfn.UNICODE(MID($B$730,13,1))</f>
        <v>0</v>
      </c>
      <c r="C743">
        <f>MOD(MOD(_xlfn.BITXOR(C742,B743),256)*16777216+_xlfn.BITXOR(C742,B743)*403,4294967296)</f>
        <v>0</v>
      </c>
    </row>
    <row r="744" spans="2:3">
      <c r="B744">
        <f>_xlfn.UNICODE(MID($B$730,14,1))</f>
        <v>0</v>
      </c>
      <c r="C744">
        <f>MOD(MOD(_xlfn.BITXOR(C743,B744),256)*16777216+_xlfn.BITXOR(C743,B744)*403,4294967296)</f>
        <v>0</v>
      </c>
    </row>
    <row r="745" spans="2:3">
      <c r="B745">
        <f>_xlfn.UNICODE(MID($B$730,15,1))</f>
        <v>0</v>
      </c>
      <c r="C745">
        <f>MOD(MOD(_xlfn.BITXOR(C744,B745),256)*16777216+_xlfn.BITXOR(C744,B745)*403,4294967296)</f>
        <v>0</v>
      </c>
    </row>
    <row r="746" spans="2:3">
      <c r="B746">
        <f>_xlfn.UNICODE(MID($B$730,16,1))</f>
        <v>0</v>
      </c>
      <c r="C746">
        <f>MOD(MOD(_xlfn.BITXOR(C745,B746),256)*16777216+_xlfn.BITXOR(C745,B746)*403,4294967296)</f>
        <v>0</v>
      </c>
    </row>
    <row r="747" spans="2:3">
      <c r="B747">
        <f>_xlfn.UNICODE(MID($B$730,17,1))</f>
        <v>0</v>
      </c>
      <c r="C747">
        <f>MOD(MOD(_xlfn.BITXOR(C746,B747),256)*16777216+_xlfn.BITXOR(C746,B747)*403,4294967296)</f>
        <v>0</v>
      </c>
    </row>
    <row r="748" spans="2:3">
      <c r="B748">
        <f>_xlfn.UNICODE(MID($B$730,18,1))</f>
        <v>0</v>
      </c>
      <c r="C748">
        <f>MOD(MOD(_xlfn.BITXOR(C747,B748),256)*16777216+_xlfn.BITXOR(C747,B748)*403,4294967296)</f>
        <v>0</v>
      </c>
    </row>
    <row r="749" spans="2:3">
      <c r="B749">
        <f>_xlfn.UNICODE(MID($B$730,19,1))</f>
        <v>0</v>
      </c>
      <c r="C749">
        <f>MOD(MOD(_xlfn.BITXOR(C748,B749),256)*16777216+_xlfn.BITXOR(C748,B749)*403,4294967296)</f>
        <v>0</v>
      </c>
    </row>
    <row r="750" spans="2:3">
      <c r="B750">
        <f>_xlfn.UNICODE(MID($B$730,20,1))</f>
        <v>0</v>
      </c>
      <c r="C750">
        <f>MOD(MOD(_xlfn.BITXOR(C749,B750),256)*16777216+_xlfn.BITXOR(C749,B750)*403,4294967296)</f>
        <v>0</v>
      </c>
    </row>
    <row r="751" spans="2:3">
      <c r="B751">
        <f>_xlfn.UNICODE(MID($B$730,21,1))</f>
        <v>0</v>
      </c>
      <c r="C751">
        <f>MOD(MOD(_xlfn.BITXOR(C750,B751),256)*16777216+_xlfn.BITXOR(C750,B751)*403,4294967296)</f>
        <v>0</v>
      </c>
    </row>
    <row r="752" spans="2:3">
      <c r="B752">
        <f>_xlfn.UNICODE(MID($B$730,22,1))</f>
        <v>0</v>
      </c>
      <c r="C752">
        <f>MOD(MOD(_xlfn.BITXOR(C751,B752),256)*16777216+_xlfn.BITXOR(C751,B752)*403,4294967296)</f>
        <v>0</v>
      </c>
    </row>
    <row r="753" spans="1:3">
      <c r="B753">
        <f>_xlfn.UNICODE(MID($B$730,23,1))</f>
        <v>0</v>
      </c>
      <c r="C753">
        <f>MOD(MOD(_xlfn.BITXOR(C752,B753),256)*16777216+_xlfn.BITXOR(C752,B753)*403,4294967296)</f>
        <v>0</v>
      </c>
    </row>
    <row r="754" spans="1:3">
      <c r="B754">
        <f>_xlfn.UNICODE(MID($B$730,24,1))</f>
        <v>0</v>
      </c>
      <c r="C754">
        <f>MOD(MOD(_xlfn.BITXOR(C753,B754),256)*16777216+_xlfn.BITXOR(C753,B754)*403,4294967296)</f>
        <v>0</v>
      </c>
    </row>
    <row r="755" spans="1:3">
      <c r="B755">
        <f>_xlfn.UNICODE(MID($B$730,25,1))</f>
        <v>0</v>
      </c>
      <c r="C755">
        <f>MOD(MOD(_xlfn.BITXOR(C754,B755),256)*16777216+_xlfn.BITXOR(C754,B755)*403,4294967296)</f>
        <v>0</v>
      </c>
    </row>
    <row r="756" spans="1:3">
      <c r="B756">
        <f>_xlfn.UNICODE(MID($B$730,26,1))</f>
        <v>0</v>
      </c>
      <c r="C756">
        <f>MOD(MOD(_xlfn.BITXOR(C755,B756),256)*16777216+_xlfn.BITXOR(C755,B756)*403,4294967296)</f>
        <v>0</v>
      </c>
    </row>
    <row r="757" spans="1:3">
      <c r="B757">
        <f>_xlfn.UNICODE(MID($B$730,27,1))</f>
        <v>0</v>
      </c>
      <c r="C757">
        <f>MOD(MOD(_xlfn.BITXOR(C756,B757),256)*16777216+_xlfn.BITXOR(C756,B757)*403,4294967296)</f>
        <v>0</v>
      </c>
    </row>
    <row r="758" spans="1:3">
      <c r="B758">
        <f>_xlfn.UNICODE(MID($B$730,28,1))</f>
        <v>0</v>
      </c>
      <c r="C758">
        <f>MOD(MOD(_xlfn.BITXOR(C757,B758),256)*16777216+_xlfn.BITXOR(C757,B758)*403,4294967296)</f>
        <v>0</v>
      </c>
    </row>
    <row r="759" spans="1:3">
      <c r="B759">
        <f>_xlfn.UNICODE(MID($B$730,29,1))</f>
        <v>0</v>
      </c>
      <c r="C759">
        <f>MOD(MOD(_xlfn.BITXOR(C758,B759),256)*16777216+_xlfn.BITXOR(C758,B759)*403,4294967296)</f>
        <v>0</v>
      </c>
    </row>
    <row r="760" spans="1:3">
      <c r="A760" t="s">
        <v>132</v>
      </c>
      <c r="B760">
        <f>"rty"&amp;Calcul!$B$82&amp;8</f>
        <v>0</v>
      </c>
    </row>
    <row r="761" spans="1:3">
      <c r="B761">
        <f>_xlfn.UNICODE(MID($B$760,1,1))</f>
        <v>0</v>
      </c>
      <c r="C761">
        <f>MOD(MOD(_xlfn.BITXOR(C759,B761),256)*16777216+_xlfn.BITXOR(C759,B761)*403,4294967296)</f>
        <v>0</v>
      </c>
    </row>
    <row r="762" spans="1:3">
      <c r="B762">
        <f>_xlfn.UNICODE(MID($B$760,2,1))</f>
        <v>0</v>
      </c>
      <c r="C762">
        <f>MOD(MOD(_xlfn.BITXOR(C761,B762),256)*16777216+_xlfn.BITXOR(C761,B762)*403,4294967296)</f>
        <v>0</v>
      </c>
    </row>
    <row r="763" spans="1:3">
      <c r="B763">
        <f>_xlfn.UNICODE(MID($B$760,3,1))</f>
        <v>0</v>
      </c>
      <c r="C763">
        <f>MOD(MOD(_xlfn.BITXOR(C762,B763),256)*16777216+_xlfn.BITXOR(C762,B763)*403,4294967296)</f>
        <v>0</v>
      </c>
    </row>
    <row r="764" spans="1:3">
      <c r="B764">
        <f>_xlfn.UNICODE(MID($B$760,4,1))</f>
        <v>0</v>
      </c>
      <c r="C764">
        <f>MOD(MOD(_xlfn.BITXOR(C763,B764),256)*16777216+_xlfn.BITXOR(C763,B764)*403,4294967296)</f>
        <v>0</v>
      </c>
    </row>
    <row r="765" spans="1:3">
      <c r="B765">
        <f>_xlfn.UNICODE(MID($B$760,5,1))</f>
        <v>0</v>
      </c>
      <c r="C765">
        <f>MOD(MOD(_xlfn.BITXOR(C764,B765),256)*16777216+_xlfn.BITXOR(C764,B765)*403,4294967296)</f>
        <v>0</v>
      </c>
    </row>
    <row r="766" spans="1:3">
      <c r="B766">
        <f>_xlfn.UNICODE(MID($B$760,6,1))</f>
        <v>0</v>
      </c>
      <c r="C766">
        <f>MOD(MOD(_xlfn.BITXOR(C765,B766),256)*16777216+_xlfn.BITXOR(C765,B766)*403,4294967296)</f>
        <v>0</v>
      </c>
    </row>
    <row r="767" spans="1:3">
      <c r="B767">
        <f>_xlfn.UNICODE(MID($B$760,7,1))</f>
        <v>0</v>
      </c>
      <c r="C767">
        <f>MOD(MOD(_xlfn.BITXOR(C766,B767),256)*16777216+_xlfn.BITXOR(C766,B767)*403,4294967296)</f>
        <v>0</v>
      </c>
    </row>
    <row r="768" spans="1:3">
      <c r="B768">
        <f>_xlfn.UNICODE(MID($B$760,8,1))</f>
        <v>0</v>
      </c>
      <c r="C768">
        <f>MOD(MOD(_xlfn.BITXOR(C767,B768),256)*16777216+_xlfn.BITXOR(C767,B768)*403,4294967296)</f>
        <v>0</v>
      </c>
    </row>
    <row r="769" spans="2:3">
      <c r="B769">
        <f>_xlfn.UNICODE(MID($B$760,9,1))</f>
        <v>0</v>
      </c>
      <c r="C769">
        <f>MOD(MOD(_xlfn.BITXOR(C768,B769),256)*16777216+_xlfn.BITXOR(C768,B769)*403,4294967296)</f>
        <v>0</v>
      </c>
    </row>
    <row r="770" spans="2:3">
      <c r="B770">
        <f>_xlfn.UNICODE(MID($B$760,10,1))</f>
        <v>0</v>
      </c>
      <c r="C770">
        <f>MOD(MOD(_xlfn.BITXOR(C769,B770),256)*16777216+_xlfn.BITXOR(C769,B770)*403,4294967296)</f>
        <v>0</v>
      </c>
    </row>
    <row r="771" spans="2:3">
      <c r="B771">
        <f>_xlfn.UNICODE(MID($B$760,11,1))</f>
        <v>0</v>
      </c>
      <c r="C771">
        <f>MOD(MOD(_xlfn.BITXOR(C770,B771),256)*16777216+_xlfn.BITXOR(C770,B771)*403,4294967296)</f>
        <v>0</v>
      </c>
    </row>
    <row r="772" spans="2:3">
      <c r="B772">
        <f>_xlfn.UNICODE(MID($B$760,12,1))</f>
        <v>0</v>
      </c>
      <c r="C772">
        <f>MOD(MOD(_xlfn.BITXOR(C771,B772),256)*16777216+_xlfn.BITXOR(C771,B772)*403,4294967296)</f>
        <v>0</v>
      </c>
    </row>
    <row r="773" spans="2:3">
      <c r="B773">
        <f>_xlfn.UNICODE(MID($B$760,13,1))</f>
        <v>0</v>
      </c>
      <c r="C773">
        <f>MOD(MOD(_xlfn.BITXOR(C772,B773),256)*16777216+_xlfn.BITXOR(C772,B773)*403,4294967296)</f>
        <v>0</v>
      </c>
    </row>
    <row r="774" spans="2:3">
      <c r="B774">
        <f>_xlfn.UNICODE(MID($B$760,14,1))</f>
        <v>0</v>
      </c>
      <c r="C774">
        <f>MOD(MOD(_xlfn.BITXOR(C773,B774),256)*16777216+_xlfn.BITXOR(C773,B774)*403,4294967296)</f>
        <v>0</v>
      </c>
    </row>
    <row r="775" spans="2:3">
      <c r="B775">
        <f>_xlfn.UNICODE(MID($B$760,15,1))</f>
        <v>0</v>
      </c>
      <c r="C775">
        <f>MOD(MOD(_xlfn.BITXOR(C774,B775),256)*16777216+_xlfn.BITXOR(C774,B775)*403,4294967296)</f>
        <v>0</v>
      </c>
    </row>
    <row r="776" spans="2:3">
      <c r="B776">
        <f>_xlfn.UNICODE(MID($B$760,16,1))</f>
        <v>0</v>
      </c>
      <c r="C776">
        <f>MOD(MOD(_xlfn.BITXOR(C775,B776),256)*16777216+_xlfn.BITXOR(C775,B776)*403,4294967296)</f>
        <v>0</v>
      </c>
    </row>
    <row r="777" spans="2:3">
      <c r="B777">
        <f>_xlfn.UNICODE(MID($B$760,17,1))</f>
        <v>0</v>
      </c>
      <c r="C777">
        <f>MOD(MOD(_xlfn.BITXOR(C776,B777),256)*16777216+_xlfn.BITXOR(C776,B777)*403,4294967296)</f>
        <v>0</v>
      </c>
    </row>
    <row r="778" spans="2:3">
      <c r="B778">
        <f>_xlfn.UNICODE(MID($B$760,18,1))</f>
        <v>0</v>
      </c>
      <c r="C778">
        <f>MOD(MOD(_xlfn.BITXOR(C777,B778),256)*16777216+_xlfn.BITXOR(C777,B778)*403,4294967296)</f>
        <v>0</v>
      </c>
    </row>
    <row r="779" spans="2:3">
      <c r="B779">
        <f>_xlfn.UNICODE(MID($B$760,19,1))</f>
        <v>0</v>
      </c>
      <c r="C779">
        <f>MOD(MOD(_xlfn.BITXOR(C778,B779),256)*16777216+_xlfn.BITXOR(C778,B779)*403,4294967296)</f>
        <v>0</v>
      </c>
    </row>
    <row r="780" spans="2:3">
      <c r="B780">
        <f>_xlfn.UNICODE(MID($B$760,20,1))</f>
        <v>0</v>
      </c>
      <c r="C780">
        <f>MOD(MOD(_xlfn.BITXOR(C779,B780),256)*16777216+_xlfn.BITXOR(C779,B780)*403,4294967296)</f>
        <v>0</v>
      </c>
    </row>
    <row r="781" spans="2:3">
      <c r="B781">
        <f>_xlfn.UNICODE(MID($B$760,21,1))</f>
        <v>0</v>
      </c>
      <c r="C781">
        <f>MOD(MOD(_xlfn.BITXOR(C780,B781),256)*16777216+_xlfn.BITXOR(C780,B781)*403,4294967296)</f>
        <v>0</v>
      </c>
    </row>
    <row r="782" spans="2:3">
      <c r="B782">
        <f>_xlfn.UNICODE(MID($B$760,22,1))</f>
        <v>0</v>
      </c>
      <c r="C782">
        <f>MOD(MOD(_xlfn.BITXOR(C781,B782),256)*16777216+_xlfn.BITXOR(C781,B782)*403,4294967296)</f>
        <v>0</v>
      </c>
    </row>
    <row r="783" spans="2:3">
      <c r="B783">
        <f>_xlfn.UNICODE(MID($B$760,23,1))</f>
        <v>0</v>
      </c>
      <c r="C783">
        <f>MOD(MOD(_xlfn.BITXOR(C782,B783),256)*16777216+_xlfn.BITXOR(C782,B783)*403,4294967296)</f>
        <v>0</v>
      </c>
    </row>
    <row r="784" spans="2:3">
      <c r="B784">
        <f>_xlfn.UNICODE(MID($B$760,24,1))</f>
        <v>0</v>
      </c>
      <c r="C784">
        <f>MOD(MOD(_xlfn.BITXOR(C783,B784),256)*16777216+_xlfn.BITXOR(C783,B784)*403,4294967296)</f>
        <v>0</v>
      </c>
    </row>
    <row r="785" spans="1:3">
      <c r="B785">
        <f>_xlfn.UNICODE(MID($B$760,25,1))</f>
        <v>0</v>
      </c>
      <c r="C785">
        <f>MOD(MOD(_xlfn.BITXOR(C784,B785),256)*16777216+_xlfn.BITXOR(C784,B785)*403,4294967296)</f>
        <v>0</v>
      </c>
    </row>
    <row r="786" spans="1:3">
      <c r="B786">
        <f>_xlfn.UNICODE(MID($B$760,26,1))</f>
        <v>0</v>
      </c>
      <c r="C786">
        <f>MOD(MOD(_xlfn.BITXOR(C785,B786),256)*16777216+_xlfn.BITXOR(C785,B786)*403,4294967296)</f>
        <v>0</v>
      </c>
    </row>
    <row r="787" spans="1:3">
      <c r="B787">
        <f>_xlfn.UNICODE(MID($B$760,27,1))</f>
        <v>0</v>
      </c>
      <c r="C787">
        <f>MOD(MOD(_xlfn.BITXOR(C786,B787),256)*16777216+_xlfn.BITXOR(C786,B787)*403,4294967296)</f>
        <v>0</v>
      </c>
    </row>
    <row r="788" spans="1:3">
      <c r="B788">
        <f>_xlfn.UNICODE(MID($B$760,28,1))</f>
        <v>0</v>
      </c>
      <c r="C788">
        <f>MOD(MOD(_xlfn.BITXOR(C787,B788),256)*16777216+_xlfn.BITXOR(C787,B788)*403,4294967296)</f>
        <v>0</v>
      </c>
    </row>
    <row r="789" spans="1:3">
      <c r="B789">
        <f>_xlfn.UNICODE(MID($B$760,29,1))</f>
        <v>0</v>
      </c>
      <c r="C789">
        <f>MOD(MOD(_xlfn.BITXOR(C788,B789),256)*16777216+_xlfn.BITXOR(C788,B789)*403,4294967296)</f>
        <v>0</v>
      </c>
    </row>
    <row r="790" spans="1:3">
      <c r="A790" t="s">
        <v>136</v>
      </c>
      <c r="B790">
        <f>LEFT(MID('Paramètres'!$D$2,MOD(C669,32)+1,1)&amp;MID('Paramètres'!$D$2,MOD(INT(C669/32),32)+1,1)&amp;MID('Paramètres'!$D$2,MOD(C699,32)+1,1)&amp;MID('Paramètres'!$D$2,MOD(INT(C699/32),32)+1,1)&amp;MID('Paramètres'!$D$2,MOD(C729,32)+1,1)&amp;MID('Paramètres'!$D$2,MOD(INT(C729/32),32)+1,1)&amp;MID('Paramètres'!$D$2,MOD(C759,32)+1,1)&amp;MID('Paramètres'!$D$2,MOD(INT(C759/32),32)+1,1)&amp;MID('Paramètres'!$D$2,MOD(C789,32)+1,1)&amp;MID('Paramètres'!$D$2,MOD(INT(C789/32),32)+1,1),10)</f>
        <v>0</v>
      </c>
    </row>
    <row r="792" spans="1:3">
      <c r="A792" s="50" t="s">
        <v>141</v>
      </c>
    </row>
    <row r="793" spans="1:3">
      <c r="A793" t="s">
        <v>128</v>
      </c>
      <c r="B793">
        <f>"lve"&amp;Calcul!$B$82&amp;0</f>
        <v>0</v>
      </c>
    </row>
    <row r="794" spans="1:3">
      <c r="B794">
        <f>_xlfn.UNICODE(MID($B$793,1,1))</f>
        <v>0</v>
      </c>
      <c r="C794">
        <f>MOD(MOD(_xlfn.BITXOR(2166136261,B794),256)*16777216+_xlfn.BITXOR(2166136261,B794)*403,4294967296)</f>
        <v>0</v>
      </c>
    </row>
    <row r="795" spans="1:3">
      <c r="B795">
        <f>_xlfn.UNICODE(MID($B$793,2,1))</f>
        <v>0</v>
      </c>
      <c r="C795">
        <f>MOD(MOD(_xlfn.BITXOR(C794,B795),256)*16777216+_xlfn.BITXOR(C794,B795)*403,4294967296)</f>
        <v>0</v>
      </c>
    </row>
    <row r="796" spans="1:3">
      <c r="B796">
        <f>_xlfn.UNICODE(MID($B$793,3,1))</f>
        <v>0</v>
      </c>
      <c r="C796">
        <f>MOD(MOD(_xlfn.BITXOR(C795,B796),256)*16777216+_xlfn.BITXOR(C795,B796)*403,4294967296)</f>
        <v>0</v>
      </c>
    </row>
    <row r="797" spans="1:3">
      <c r="B797">
        <f>_xlfn.UNICODE(MID($B$793,4,1))</f>
        <v>0</v>
      </c>
      <c r="C797">
        <f>MOD(MOD(_xlfn.BITXOR(C796,B797),256)*16777216+_xlfn.BITXOR(C796,B797)*403,4294967296)</f>
        <v>0</v>
      </c>
    </row>
    <row r="798" spans="1:3">
      <c r="B798">
        <f>_xlfn.UNICODE(MID($B$793,5,1))</f>
        <v>0</v>
      </c>
      <c r="C798">
        <f>MOD(MOD(_xlfn.BITXOR(C797,B798),256)*16777216+_xlfn.BITXOR(C797,B798)*403,4294967296)</f>
        <v>0</v>
      </c>
    </row>
    <row r="799" spans="1:3">
      <c r="B799">
        <f>_xlfn.UNICODE(MID($B$793,6,1))</f>
        <v>0</v>
      </c>
      <c r="C799">
        <f>MOD(MOD(_xlfn.BITXOR(C798,B799),256)*16777216+_xlfn.BITXOR(C798,B799)*403,4294967296)</f>
        <v>0</v>
      </c>
    </row>
    <row r="800" spans="1:3">
      <c r="B800">
        <f>_xlfn.UNICODE(MID($B$793,7,1))</f>
        <v>0</v>
      </c>
      <c r="C800">
        <f>MOD(MOD(_xlfn.BITXOR(C799,B800),256)*16777216+_xlfn.BITXOR(C799,B800)*403,4294967296)</f>
        <v>0</v>
      </c>
    </row>
    <row r="801" spans="2:3">
      <c r="B801">
        <f>_xlfn.UNICODE(MID($B$793,8,1))</f>
        <v>0</v>
      </c>
      <c r="C801">
        <f>MOD(MOD(_xlfn.BITXOR(C800,B801),256)*16777216+_xlfn.BITXOR(C800,B801)*403,4294967296)</f>
        <v>0</v>
      </c>
    </row>
    <row r="802" spans="2:3">
      <c r="B802">
        <f>_xlfn.UNICODE(MID($B$793,9,1))</f>
        <v>0</v>
      </c>
      <c r="C802">
        <f>MOD(MOD(_xlfn.BITXOR(C801,B802),256)*16777216+_xlfn.BITXOR(C801,B802)*403,4294967296)</f>
        <v>0</v>
      </c>
    </row>
    <row r="803" spans="2:3">
      <c r="B803">
        <f>_xlfn.UNICODE(MID($B$793,10,1))</f>
        <v>0</v>
      </c>
      <c r="C803">
        <f>MOD(MOD(_xlfn.BITXOR(C802,B803),256)*16777216+_xlfn.BITXOR(C802,B803)*403,4294967296)</f>
        <v>0</v>
      </c>
    </row>
    <row r="804" spans="2:3">
      <c r="B804">
        <f>_xlfn.UNICODE(MID($B$793,11,1))</f>
        <v>0</v>
      </c>
      <c r="C804">
        <f>MOD(MOD(_xlfn.BITXOR(C803,B804),256)*16777216+_xlfn.BITXOR(C803,B804)*403,4294967296)</f>
        <v>0</v>
      </c>
    </row>
    <row r="805" spans="2:3">
      <c r="B805">
        <f>_xlfn.UNICODE(MID($B$793,12,1))</f>
        <v>0</v>
      </c>
      <c r="C805">
        <f>MOD(MOD(_xlfn.BITXOR(C804,B805),256)*16777216+_xlfn.BITXOR(C804,B805)*403,4294967296)</f>
        <v>0</v>
      </c>
    </row>
    <row r="806" spans="2:3">
      <c r="B806">
        <f>_xlfn.UNICODE(MID($B$793,13,1))</f>
        <v>0</v>
      </c>
      <c r="C806">
        <f>MOD(MOD(_xlfn.BITXOR(C805,B806),256)*16777216+_xlfn.BITXOR(C805,B806)*403,4294967296)</f>
        <v>0</v>
      </c>
    </row>
    <row r="807" spans="2:3">
      <c r="B807">
        <f>_xlfn.UNICODE(MID($B$793,14,1))</f>
        <v>0</v>
      </c>
      <c r="C807">
        <f>MOD(MOD(_xlfn.BITXOR(C806,B807),256)*16777216+_xlfn.BITXOR(C806,B807)*403,4294967296)</f>
        <v>0</v>
      </c>
    </row>
    <row r="808" spans="2:3">
      <c r="B808">
        <f>_xlfn.UNICODE(MID($B$793,15,1))</f>
        <v>0</v>
      </c>
      <c r="C808">
        <f>MOD(MOD(_xlfn.BITXOR(C807,B808),256)*16777216+_xlfn.BITXOR(C807,B808)*403,4294967296)</f>
        <v>0</v>
      </c>
    </row>
    <row r="809" spans="2:3">
      <c r="B809">
        <f>_xlfn.UNICODE(MID($B$793,16,1))</f>
        <v>0</v>
      </c>
      <c r="C809">
        <f>MOD(MOD(_xlfn.BITXOR(C808,B809),256)*16777216+_xlfn.BITXOR(C808,B809)*403,4294967296)</f>
        <v>0</v>
      </c>
    </row>
    <row r="810" spans="2:3">
      <c r="B810">
        <f>_xlfn.UNICODE(MID($B$793,17,1))</f>
        <v>0</v>
      </c>
      <c r="C810">
        <f>MOD(MOD(_xlfn.BITXOR(C809,B810),256)*16777216+_xlfn.BITXOR(C809,B810)*403,4294967296)</f>
        <v>0</v>
      </c>
    </row>
    <row r="811" spans="2:3">
      <c r="B811">
        <f>_xlfn.UNICODE(MID($B$793,18,1))</f>
        <v>0</v>
      </c>
      <c r="C811">
        <f>MOD(MOD(_xlfn.BITXOR(C810,B811),256)*16777216+_xlfn.BITXOR(C810,B811)*403,4294967296)</f>
        <v>0</v>
      </c>
    </row>
    <row r="812" spans="2:3">
      <c r="B812">
        <f>_xlfn.UNICODE(MID($B$793,19,1))</f>
        <v>0</v>
      </c>
      <c r="C812">
        <f>MOD(MOD(_xlfn.BITXOR(C811,B812),256)*16777216+_xlfn.BITXOR(C811,B812)*403,4294967296)</f>
        <v>0</v>
      </c>
    </row>
    <row r="813" spans="2:3">
      <c r="B813">
        <f>_xlfn.UNICODE(MID($B$793,20,1))</f>
        <v>0</v>
      </c>
      <c r="C813">
        <f>MOD(MOD(_xlfn.BITXOR(C812,B813),256)*16777216+_xlfn.BITXOR(C812,B813)*403,4294967296)</f>
        <v>0</v>
      </c>
    </row>
    <row r="814" spans="2:3">
      <c r="B814">
        <f>_xlfn.UNICODE(MID($B$793,21,1))</f>
        <v>0</v>
      </c>
      <c r="C814">
        <f>MOD(MOD(_xlfn.BITXOR(C813,B814),256)*16777216+_xlfn.BITXOR(C813,B814)*403,4294967296)</f>
        <v>0</v>
      </c>
    </row>
    <row r="815" spans="2:3">
      <c r="B815">
        <f>_xlfn.UNICODE(MID($B$793,22,1))</f>
        <v>0</v>
      </c>
      <c r="C815">
        <f>MOD(MOD(_xlfn.BITXOR(C814,B815),256)*16777216+_xlfn.BITXOR(C814,B815)*403,4294967296)</f>
        <v>0</v>
      </c>
    </row>
    <row r="816" spans="2:3">
      <c r="B816">
        <f>_xlfn.UNICODE(MID($B$793,23,1))</f>
        <v>0</v>
      </c>
      <c r="C816">
        <f>MOD(MOD(_xlfn.BITXOR(C815,B816),256)*16777216+_xlfn.BITXOR(C815,B816)*403,4294967296)</f>
        <v>0</v>
      </c>
    </row>
    <row r="817" spans="1:3">
      <c r="B817">
        <f>_xlfn.UNICODE(MID($B$793,24,1))</f>
        <v>0</v>
      </c>
      <c r="C817">
        <f>MOD(MOD(_xlfn.BITXOR(C816,B817),256)*16777216+_xlfn.BITXOR(C816,B817)*403,4294967296)</f>
        <v>0</v>
      </c>
    </row>
    <row r="818" spans="1:3">
      <c r="B818">
        <f>_xlfn.UNICODE(MID($B$793,25,1))</f>
        <v>0</v>
      </c>
      <c r="C818">
        <f>MOD(MOD(_xlfn.BITXOR(C817,B818),256)*16777216+_xlfn.BITXOR(C817,B818)*403,4294967296)</f>
        <v>0</v>
      </c>
    </row>
    <row r="819" spans="1:3">
      <c r="B819">
        <f>_xlfn.UNICODE(MID($B$793,26,1))</f>
        <v>0</v>
      </c>
      <c r="C819">
        <f>MOD(MOD(_xlfn.BITXOR(C818,B819),256)*16777216+_xlfn.BITXOR(C818,B819)*403,4294967296)</f>
        <v>0</v>
      </c>
    </row>
    <row r="820" spans="1:3">
      <c r="B820">
        <f>_xlfn.UNICODE(MID($B$793,27,1))</f>
        <v>0</v>
      </c>
      <c r="C820">
        <f>MOD(MOD(_xlfn.BITXOR(C819,B820),256)*16777216+_xlfn.BITXOR(C819,B820)*403,4294967296)</f>
        <v>0</v>
      </c>
    </row>
    <row r="821" spans="1:3">
      <c r="B821">
        <f>_xlfn.UNICODE(MID($B$793,28,1))</f>
        <v>0</v>
      </c>
      <c r="C821">
        <f>MOD(MOD(_xlfn.BITXOR(C820,B821),256)*16777216+_xlfn.BITXOR(C820,B821)*403,4294967296)</f>
        <v>0</v>
      </c>
    </row>
    <row r="822" spans="1:3">
      <c r="B822">
        <f>_xlfn.UNICODE(MID($B$793,29,1))</f>
        <v>0</v>
      </c>
      <c r="C822">
        <f>MOD(MOD(_xlfn.BITXOR(C821,B822),256)*16777216+_xlfn.BITXOR(C821,B822)*403,4294967296)</f>
        <v>0</v>
      </c>
    </row>
    <row r="823" spans="1:3">
      <c r="A823" t="s">
        <v>129</v>
      </c>
      <c r="B823">
        <f>"lve"&amp;Calcul!$B$82&amp;2</f>
        <v>0</v>
      </c>
    </row>
    <row r="824" spans="1:3">
      <c r="B824">
        <f>_xlfn.UNICODE(MID($B$823,1,1))</f>
        <v>0</v>
      </c>
      <c r="C824">
        <f>MOD(MOD(_xlfn.BITXOR(C822,B824),256)*16777216+_xlfn.BITXOR(C822,B824)*403,4294967296)</f>
        <v>0</v>
      </c>
    </row>
    <row r="825" spans="1:3">
      <c r="B825">
        <f>_xlfn.UNICODE(MID($B$823,2,1))</f>
        <v>0</v>
      </c>
      <c r="C825">
        <f>MOD(MOD(_xlfn.BITXOR(C824,B825),256)*16777216+_xlfn.BITXOR(C824,B825)*403,4294967296)</f>
        <v>0</v>
      </c>
    </row>
    <row r="826" spans="1:3">
      <c r="B826">
        <f>_xlfn.UNICODE(MID($B$823,3,1))</f>
        <v>0</v>
      </c>
      <c r="C826">
        <f>MOD(MOD(_xlfn.BITXOR(C825,B826),256)*16777216+_xlfn.BITXOR(C825,B826)*403,4294967296)</f>
        <v>0</v>
      </c>
    </row>
    <row r="827" spans="1:3">
      <c r="B827">
        <f>_xlfn.UNICODE(MID($B$823,4,1))</f>
        <v>0</v>
      </c>
      <c r="C827">
        <f>MOD(MOD(_xlfn.BITXOR(C826,B827),256)*16777216+_xlfn.BITXOR(C826,B827)*403,4294967296)</f>
        <v>0</v>
      </c>
    </row>
    <row r="828" spans="1:3">
      <c r="B828">
        <f>_xlfn.UNICODE(MID($B$823,5,1))</f>
        <v>0</v>
      </c>
      <c r="C828">
        <f>MOD(MOD(_xlfn.BITXOR(C827,B828),256)*16777216+_xlfn.BITXOR(C827,B828)*403,4294967296)</f>
        <v>0</v>
      </c>
    </row>
    <row r="829" spans="1:3">
      <c r="B829">
        <f>_xlfn.UNICODE(MID($B$823,6,1))</f>
        <v>0</v>
      </c>
      <c r="C829">
        <f>MOD(MOD(_xlfn.BITXOR(C828,B829),256)*16777216+_xlfn.BITXOR(C828,B829)*403,4294967296)</f>
        <v>0</v>
      </c>
    </row>
    <row r="830" spans="1:3">
      <c r="B830">
        <f>_xlfn.UNICODE(MID($B$823,7,1))</f>
        <v>0</v>
      </c>
      <c r="C830">
        <f>MOD(MOD(_xlfn.BITXOR(C829,B830),256)*16777216+_xlfn.BITXOR(C829,B830)*403,4294967296)</f>
        <v>0</v>
      </c>
    </row>
    <row r="831" spans="1:3">
      <c r="B831">
        <f>_xlfn.UNICODE(MID($B$823,8,1))</f>
        <v>0</v>
      </c>
      <c r="C831">
        <f>MOD(MOD(_xlfn.BITXOR(C830,B831),256)*16777216+_xlfn.BITXOR(C830,B831)*403,4294967296)</f>
        <v>0</v>
      </c>
    </row>
    <row r="832" spans="1:3">
      <c r="B832">
        <f>_xlfn.UNICODE(MID($B$823,9,1))</f>
        <v>0</v>
      </c>
      <c r="C832">
        <f>MOD(MOD(_xlfn.BITXOR(C831,B832),256)*16777216+_xlfn.BITXOR(C831,B832)*403,4294967296)</f>
        <v>0</v>
      </c>
    </row>
    <row r="833" spans="2:3">
      <c r="B833">
        <f>_xlfn.UNICODE(MID($B$823,10,1))</f>
        <v>0</v>
      </c>
      <c r="C833">
        <f>MOD(MOD(_xlfn.BITXOR(C832,B833),256)*16777216+_xlfn.BITXOR(C832,B833)*403,4294967296)</f>
        <v>0</v>
      </c>
    </row>
    <row r="834" spans="2:3">
      <c r="B834">
        <f>_xlfn.UNICODE(MID($B$823,11,1))</f>
        <v>0</v>
      </c>
      <c r="C834">
        <f>MOD(MOD(_xlfn.BITXOR(C833,B834),256)*16777216+_xlfn.BITXOR(C833,B834)*403,4294967296)</f>
        <v>0</v>
      </c>
    </row>
    <row r="835" spans="2:3">
      <c r="B835">
        <f>_xlfn.UNICODE(MID($B$823,12,1))</f>
        <v>0</v>
      </c>
      <c r="C835">
        <f>MOD(MOD(_xlfn.BITXOR(C834,B835),256)*16777216+_xlfn.BITXOR(C834,B835)*403,4294967296)</f>
        <v>0</v>
      </c>
    </row>
    <row r="836" spans="2:3">
      <c r="B836">
        <f>_xlfn.UNICODE(MID($B$823,13,1))</f>
        <v>0</v>
      </c>
      <c r="C836">
        <f>MOD(MOD(_xlfn.BITXOR(C835,B836),256)*16777216+_xlfn.BITXOR(C835,B836)*403,4294967296)</f>
        <v>0</v>
      </c>
    </row>
    <row r="837" spans="2:3">
      <c r="B837">
        <f>_xlfn.UNICODE(MID($B$823,14,1))</f>
        <v>0</v>
      </c>
      <c r="C837">
        <f>MOD(MOD(_xlfn.BITXOR(C836,B837),256)*16777216+_xlfn.BITXOR(C836,B837)*403,4294967296)</f>
        <v>0</v>
      </c>
    </row>
    <row r="838" spans="2:3">
      <c r="B838">
        <f>_xlfn.UNICODE(MID($B$823,15,1))</f>
        <v>0</v>
      </c>
      <c r="C838">
        <f>MOD(MOD(_xlfn.BITXOR(C837,B838),256)*16777216+_xlfn.BITXOR(C837,B838)*403,4294967296)</f>
        <v>0</v>
      </c>
    </row>
    <row r="839" spans="2:3">
      <c r="B839">
        <f>_xlfn.UNICODE(MID($B$823,16,1))</f>
        <v>0</v>
      </c>
      <c r="C839">
        <f>MOD(MOD(_xlfn.BITXOR(C838,B839),256)*16777216+_xlfn.BITXOR(C838,B839)*403,4294967296)</f>
        <v>0</v>
      </c>
    </row>
    <row r="840" spans="2:3">
      <c r="B840">
        <f>_xlfn.UNICODE(MID($B$823,17,1))</f>
        <v>0</v>
      </c>
      <c r="C840">
        <f>MOD(MOD(_xlfn.BITXOR(C839,B840),256)*16777216+_xlfn.BITXOR(C839,B840)*403,4294967296)</f>
        <v>0</v>
      </c>
    </row>
    <row r="841" spans="2:3">
      <c r="B841">
        <f>_xlfn.UNICODE(MID($B$823,18,1))</f>
        <v>0</v>
      </c>
      <c r="C841">
        <f>MOD(MOD(_xlfn.BITXOR(C840,B841),256)*16777216+_xlfn.BITXOR(C840,B841)*403,4294967296)</f>
        <v>0</v>
      </c>
    </row>
    <row r="842" spans="2:3">
      <c r="B842">
        <f>_xlfn.UNICODE(MID($B$823,19,1))</f>
        <v>0</v>
      </c>
      <c r="C842">
        <f>MOD(MOD(_xlfn.BITXOR(C841,B842),256)*16777216+_xlfn.BITXOR(C841,B842)*403,4294967296)</f>
        <v>0</v>
      </c>
    </row>
    <row r="843" spans="2:3">
      <c r="B843">
        <f>_xlfn.UNICODE(MID($B$823,20,1))</f>
        <v>0</v>
      </c>
      <c r="C843">
        <f>MOD(MOD(_xlfn.BITXOR(C842,B843),256)*16777216+_xlfn.BITXOR(C842,B843)*403,4294967296)</f>
        <v>0</v>
      </c>
    </row>
    <row r="844" spans="2:3">
      <c r="B844">
        <f>_xlfn.UNICODE(MID($B$823,21,1))</f>
        <v>0</v>
      </c>
      <c r="C844">
        <f>MOD(MOD(_xlfn.BITXOR(C843,B844),256)*16777216+_xlfn.BITXOR(C843,B844)*403,4294967296)</f>
        <v>0</v>
      </c>
    </row>
    <row r="845" spans="2:3">
      <c r="B845">
        <f>_xlfn.UNICODE(MID($B$823,22,1))</f>
        <v>0</v>
      </c>
      <c r="C845">
        <f>MOD(MOD(_xlfn.BITXOR(C844,B845),256)*16777216+_xlfn.BITXOR(C844,B845)*403,4294967296)</f>
        <v>0</v>
      </c>
    </row>
    <row r="846" spans="2:3">
      <c r="B846">
        <f>_xlfn.UNICODE(MID($B$823,23,1))</f>
        <v>0</v>
      </c>
      <c r="C846">
        <f>MOD(MOD(_xlfn.BITXOR(C845,B846),256)*16777216+_xlfn.BITXOR(C845,B846)*403,4294967296)</f>
        <v>0</v>
      </c>
    </row>
    <row r="847" spans="2:3">
      <c r="B847">
        <f>_xlfn.UNICODE(MID($B$823,24,1))</f>
        <v>0</v>
      </c>
      <c r="C847">
        <f>MOD(MOD(_xlfn.BITXOR(C846,B847),256)*16777216+_xlfn.BITXOR(C846,B847)*403,4294967296)</f>
        <v>0</v>
      </c>
    </row>
    <row r="848" spans="2:3">
      <c r="B848">
        <f>_xlfn.UNICODE(MID($B$823,25,1))</f>
        <v>0</v>
      </c>
      <c r="C848">
        <f>MOD(MOD(_xlfn.BITXOR(C847,B848),256)*16777216+_xlfn.BITXOR(C847,B848)*403,4294967296)</f>
        <v>0</v>
      </c>
    </row>
    <row r="849" spans="1:3">
      <c r="B849">
        <f>_xlfn.UNICODE(MID($B$823,26,1))</f>
        <v>0</v>
      </c>
      <c r="C849">
        <f>MOD(MOD(_xlfn.BITXOR(C848,B849),256)*16777216+_xlfn.BITXOR(C848,B849)*403,4294967296)</f>
        <v>0</v>
      </c>
    </row>
    <row r="850" spans="1:3">
      <c r="B850">
        <f>_xlfn.UNICODE(MID($B$823,27,1))</f>
        <v>0</v>
      </c>
      <c r="C850">
        <f>MOD(MOD(_xlfn.BITXOR(C849,B850),256)*16777216+_xlfn.BITXOR(C849,B850)*403,4294967296)</f>
        <v>0</v>
      </c>
    </row>
    <row r="851" spans="1:3">
      <c r="B851">
        <f>_xlfn.UNICODE(MID($B$823,28,1))</f>
        <v>0</v>
      </c>
      <c r="C851">
        <f>MOD(MOD(_xlfn.BITXOR(C850,B851),256)*16777216+_xlfn.BITXOR(C850,B851)*403,4294967296)</f>
        <v>0</v>
      </c>
    </row>
    <row r="852" spans="1:3">
      <c r="B852">
        <f>_xlfn.UNICODE(MID($B$823,29,1))</f>
        <v>0</v>
      </c>
      <c r="C852">
        <f>MOD(MOD(_xlfn.BITXOR(C851,B852),256)*16777216+_xlfn.BITXOR(C851,B852)*403,4294967296)</f>
        <v>0</v>
      </c>
    </row>
    <row r="853" spans="1:3">
      <c r="A853" t="s">
        <v>130</v>
      </c>
      <c r="B853">
        <f>"lve"&amp;Calcul!$B$82&amp;4</f>
        <v>0</v>
      </c>
    </row>
    <row r="854" spans="1:3">
      <c r="B854">
        <f>_xlfn.UNICODE(MID($B$853,1,1))</f>
        <v>0</v>
      </c>
      <c r="C854">
        <f>MOD(MOD(_xlfn.BITXOR(C852,B854),256)*16777216+_xlfn.BITXOR(C852,B854)*403,4294967296)</f>
        <v>0</v>
      </c>
    </row>
    <row r="855" spans="1:3">
      <c r="B855">
        <f>_xlfn.UNICODE(MID($B$853,2,1))</f>
        <v>0</v>
      </c>
      <c r="C855">
        <f>MOD(MOD(_xlfn.BITXOR(C854,B855),256)*16777216+_xlfn.BITXOR(C854,B855)*403,4294967296)</f>
        <v>0</v>
      </c>
    </row>
    <row r="856" spans="1:3">
      <c r="B856">
        <f>_xlfn.UNICODE(MID($B$853,3,1))</f>
        <v>0</v>
      </c>
      <c r="C856">
        <f>MOD(MOD(_xlfn.BITXOR(C855,B856),256)*16777216+_xlfn.BITXOR(C855,B856)*403,4294967296)</f>
        <v>0</v>
      </c>
    </row>
    <row r="857" spans="1:3">
      <c r="B857">
        <f>_xlfn.UNICODE(MID($B$853,4,1))</f>
        <v>0</v>
      </c>
      <c r="C857">
        <f>MOD(MOD(_xlfn.BITXOR(C856,B857),256)*16777216+_xlfn.BITXOR(C856,B857)*403,4294967296)</f>
        <v>0</v>
      </c>
    </row>
    <row r="858" spans="1:3">
      <c r="B858">
        <f>_xlfn.UNICODE(MID($B$853,5,1))</f>
        <v>0</v>
      </c>
      <c r="C858">
        <f>MOD(MOD(_xlfn.BITXOR(C857,B858),256)*16777216+_xlfn.BITXOR(C857,B858)*403,4294967296)</f>
        <v>0</v>
      </c>
    </row>
    <row r="859" spans="1:3">
      <c r="B859">
        <f>_xlfn.UNICODE(MID($B$853,6,1))</f>
        <v>0</v>
      </c>
      <c r="C859">
        <f>MOD(MOD(_xlfn.BITXOR(C858,B859),256)*16777216+_xlfn.BITXOR(C858,B859)*403,4294967296)</f>
        <v>0</v>
      </c>
    </row>
    <row r="860" spans="1:3">
      <c r="B860">
        <f>_xlfn.UNICODE(MID($B$853,7,1))</f>
        <v>0</v>
      </c>
      <c r="C860">
        <f>MOD(MOD(_xlfn.BITXOR(C859,B860),256)*16777216+_xlfn.BITXOR(C859,B860)*403,4294967296)</f>
        <v>0</v>
      </c>
    </row>
    <row r="861" spans="1:3">
      <c r="B861">
        <f>_xlfn.UNICODE(MID($B$853,8,1))</f>
        <v>0</v>
      </c>
      <c r="C861">
        <f>MOD(MOD(_xlfn.BITXOR(C860,B861),256)*16777216+_xlfn.BITXOR(C860,B861)*403,4294967296)</f>
        <v>0</v>
      </c>
    </row>
    <row r="862" spans="1:3">
      <c r="B862">
        <f>_xlfn.UNICODE(MID($B$853,9,1))</f>
        <v>0</v>
      </c>
      <c r="C862">
        <f>MOD(MOD(_xlfn.BITXOR(C861,B862),256)*16777216+_xlfn.BITXOR(C861,B862)*403,4294967296)</f>
        <v>0</v>
      </c>
    </row>
    <row r="863" spans="1:3">
      <c r="B863">
        <f>_xlfn.UNICODE(MID($B$853,10,1))</f>
        <v>0</v>
      </c>
      <c r="C863">
        <f>MOD(MOD(_xlfn.BITXOR(C862,B863),256)*16777216+_xlfn.BITXOR(C862,B863)*403,4294967296)</f>
        <v>0</v>
      </c>
    </row>
    <row r="864" spans="1:3">
      <c r="B864">
        <f>_xlfn.UNICODE(MID($B$853,11,1))</f>
        <v>0</v>
      </c>
      <c r="C864">
        <f>MOD(MOD(_xlfn.BITXOR(C863,B864),256)*16777216+_xlfn.BITXOR(C863,B864)*403,4294967296)</f>
        <v>0</v>
      </c>
    </row>
    <row r="865" spans="2:3">
      <c r="B865">
        <f>_xlfn.UNICODE(MID($B$853,12,1))</f>
        <v>0</v>
      </c>
      <c r="C865">
        <f>MOD(MOD(_xlfn.BITXOR(C864,B865),256)*16777216+_xlfn.BITXOR(C864,B865)*403,4294967296)</f>
        <v>0</v>
      </c>
    </row>
    <row r="866" spans="2:3">
      <c r="B866">
        <f>_xlfn.UNICODE(MID($B$853,13,1))</f>
        <v>0</v>
      </c>
      <c r="C866">
        <f>MOD(MOD(_xlfn.BITXOR(C865,B866),256)*16777216+_xlfn.BITXOR(C865,B866)*403,4294967296)</f>
        <v>0</v>
      </c>
    </row>
    <row r="867" spans="2:3">
      <c r="B867">
        <f>_xlfn.UNICODE(MID($B$853,14,1))</f>
        <v>0</v>
      </c>
      <c r="C867">
        <f>MOD(MOD(_xlfn.BITXOR(C866,B867),256)*16777216+_xlfn.BITXOR(C866,B867)*403,4294967296)</f>
        <v>0</v>
      </c>
    </row>
    <row r="868" spans="2:3">
      <c r="B868">
        <f>_xlfn.UNICODE(MID($B$853,15,1))</f>
        <v>0</v>
      </c>
      <c r="C868">
        <f>MOD(MOD(_xlfn.BITXOR(C867,B868),256)*16777216+_xlfn.BITXOR(C867,B868)*403,4294967296)</f>
        <v>0</v>
      </c>
    </row>
    <row r="869" spans="2:3">
      <c r="B869">
        <f>_xlfn.UNICODE(MID($B$853,16,1))</f>
        <v>0</v>
      </c>
      <c r="C869">
        <f>MOD(MOD(_xlfn.BITXOR(C868,B869),256)*16777216+_xlfn.BITXOR(C868,B869)*403,4294967296)</f>
        <v>0</v>
      </c>
    </row>
    <row r="870" spans="2:3">
      <c r="B870">
        <f>_xlfn.UNICODE(MID($B$853,17,1))</f>
        <v>0</v>
      </c>
      <c r="C870">
        <f>MOD(MOD(_xlfn.BITXOR(C869,B870),256)*16777216+_xlfn.BITXOR(C869,B870)*403,4294967296)</f>
        <v>0</v>
      </c>
    </row>
    <row r="871" spans="2:3">
      <c r="B871">
        <f>_xlfn.UNICODE(MID($B$853,18,1))</f>
        <v>0</v>
      </c>
      <c r="C871">
        <f>MOD(MOD(_xlfn.BITXOR(C870,B871),256)*16777216+_xlfn.BITXOR(C870,B871)*403,4294967296)</f>
        <v>0</v>
      </c>
    </row>
    <row r="872" spans="2:3">
      <c r="B872">
        <f>_xlfn.UNICODE(MID($B$853,19,1))</f>
        <v>0</v>
      </c>
      <c r="C872">
        <f>MOD(MOD(_xlfn.BITXOR(C871,B872),256)*16777216+_xlfn.BITXOR(C871,B872)*403,4294967296)</f>
        <v>0</v>
      </c>
    </row>
    <row r="873" spans="2:3">
      <c r="B873">
        <f>_xlfn.UNICODE(MID($B$853,20,1))</f>
        <v>0</v>
      </c>
      <c r="C873">
        <f>MOD(MOD(_xlfn.BITXOR(C872,B873),256)*16777216+_xlfn.BITXOR(C872,B873)*403,4294967296)</f>
        <v>0</v>
      </c>
    </row>
    <row r="874" spans="2:3">
      <c r="B874">
        <f>_xlfn.UNICODE(MID($B$853,21,1))</f>
        <v>0</v>
      </c>
      <c r="C874">
        <f>MOD(MOD(_xlfn.BITXOR(C873,B874),256)*16777216+_xlfn.BITXOR(C873,B874)*403,4294967296)</f>
        <v>0</v>
      </c>
    </row>
    <row r="875" spans="2:3">
      <c r="B875">
        <f>_xlfn.UNICODE(MID($B$853,22,1))</f>
        <v>0</v>
      </c>
      <c r="C875">
        <f>MOD(MOD(_xlfn.BITXOR(C874,B875),256)*16777216+_xlfn.BITXOR(C874,B875)*403,4294967296)</f>
        <v>0</v>
      </c>
    </row>
    <row r="876" spans="2:3">
      <c r="B876">
        <f>_xlfn.UNICODE(MID($B$853,23,1))</f>
        <v>0</v>
      </c>
      <c r="C876">
        <f>MOD(MOD(_xlfn.BITXOR(C875,B876),256)*16777216+_xlfn.BITXOR(C875,B876)*403,4294967296)</f>
        <v>0</v>
      </c>
    </row>
    <row r="877" spans="2:3">
      <c r="B877">
        <f>_xlfn.UNICODE(MID($B$853,24,1))</f>
        <v>0</v>
      </c>
      <c r="C877">
        <f>MOD(MOD(_xlfn.BITXOR(C876,B877),256)*16777216+_xlfn.BITXOR(C876,B877)*403,4294967296)</f>
        <v>0</v>
      </c>
    </row>
    <row r="878" spans="2:3">
      <c r="B878">
        <f>_xlfn.UNICODE(MID($B$853,25,1))</f>
        <v>0</v>
      </c>
      <c r="C878">
        <f>MOD(MOD(_xlfn.BITXOR(C877,B878),256)*16777216+_xlfn.BITXOR(C877,B878)*403,4294967296)</f>
        <v>0</v>
      </c>
    </row>
    <row r="879" spans="2:3">
      <c r="B879">
        <f>_xlfn.UNICODE(MID($B$853,26,1))</f>
        <v>0</v>
      </c>
      <c r="C879">
        <f>MOD(MOD(_xlfn.BITXOR(C878,B879),256)*16777216+_xlfn.BITXOR(C878,B879)*403,4294967296)</f>
        <v>0</v>
      </c>
    </row>
    <row r="880" spans="2:3">
      <c r="B880">
        <f>_xlfn.UNICODE(MID($B$853,27,1))</f>
        <v>0</v>
      </c>
      <c r="C880">
        <f>MOD(MOD(_xlfn.BITXOR(C879,B880),256)*16777216+_xlfn.BITXOR(C879,B880)*403,4294967296)</f>
        <v>0</v>
      </c>
    </row>
    <row r="881" spans="1:3">
      <c r="B881">
        <f>_xlfn.UNICODE(MID($B$853,28,1))</f>
        <v>0</v>
      </c>
      <c r="C881">
        <f>MOD(MOD(_xlfn.BITXOR(C880,B881),256)*16777216+_xlfn.BITXOR(C880,B881)*403,4294967296)</f>
        <v>0</v>
      </c>
    </row>
    <row r="882" spans="1:3">
      <c r="B882">
        <f>_xlfn.UNICODE(MID($B$853,29,1))</f>
        <v>0</v>
      </c>
      <c r="C882">
        <f>MOD(MOD(_xlfn.BITXOR(C881,B882),256)*16777216+_xlfn.BITXOR(C881,B882)*403,4294967296)</f>
        <v>0</v>
      </c>
    </row>
    <row r="883" spans="1:3">
      <c r="A883" t="s">
        <v>131</v>
      </c>
      <c r="B883">
        <f>"lve"&amp;Calcul!$B$82&amp;6</f>
        <v>0</v>
      </c>
    </row>
    <row r="884" spans="1:3">
      <c r="B884">
        <f>_xlfn.UNICODE(MID($B$883,1,1))</f>
        <v>0</v>
      </c>
      <c r="C884">
        <f>MOD(MOD(_xlfn.BITXOR(C882,B884),256)*16777216+_xlfn.BITXOR(C882,B884)*403,4294967296)</f>
        <v>0</v>
      </c>
    </row>
    <row r="885" spans="1:3">
      <c r="B885">
        <f>_xlfn.UNICODE(MID($B$883,2,1))</f>
        <v>0</v>
      </c>
      <c r="C885">
        <f>MOD(MOD(_xlfn.BITXOR(C884,B885),256)*16777216+_xlfn.BITXOR(C884,B885)*403,4294967296)</f>
        <v>0</v>
      </c>
    </row>
    <row r="886" spans="1:3">
      <c r="B886">
        <f>_xlfn.UNICODE(MID($B$883,3,1))</f>
        <v>0</v>
      </c>
      <c r="C886">
        <f>MOD(MOD(_xlfn.BITXOR(C885,B886),256)*16777216+_xlfn.BITXOR(C885,B886)*403,4294967296)</f>
        <v>0</v>
      </c>
    </row>
    <row r="887" spans="1:3">
      <c r="B887">
        <f>_xlfn.UNICODE(MID($B$883,4,1))</f>
        <v>0</v>
      </c>
      <c r="C887">
        <f>MOD(MOD(_xlfn.BITXOR(C886,B887),256)*16777216+_xlfn.BITXOR(C886,B887)*403,4294967296)</f>
        <v>0</v>
      </c>
    </row>
    <row r="888" spans="1:3">
      <c r="B888">
        <f>_xlfn.UNICODE(MID($B$883,5,1))</f>
        <v>0</v>
      </c>
      <c r="C888">
        <f>MOD(MOD(_xlfn.BITXOR(C887,B888),256)*16777216+_xlfn.BITXOR(C887,B888)*403,4294967296)</f>
        <v>0</v>
      </c>
    </row>
    <row r="889" spans="1:3">
      <c r="B889">
        <f>_xlfn.UNICODE(MID($B$883,6,1))</f>
        <v>0</v>
      </c>
      <c r="C889">
        <f>MOD(MOD(_xlfn.BITXOR(C888,B889),256)*16777216+_xlfn.BITXOR(C888,B889)*403,4294967296)</f>
        <v>0</v>
      </c>
    </row>
    <row r="890" spans="1:3">
      <c r="B890">
        <f>_xlfn.UNICODE(MID($B$883,7,1))</f>
        <v>0</v>
      </c>
      <c r="C890">
        <f>MOD(MOD(_xlfn.BITXOR(C889,B890),256)*16777216+_xlfn.BITXOR(C889,B890)*403,4294967296)</f>
        <v>0</v>
      </c>
    </row>
    <row r="891" spans="1:3">
      <c r="B891">
        <f>_xlfn.UNICODE(MID($B$883,8,1))</f>
        <v>0</v>
      </c>
      <c r="C891">
        <f>MOD(MOD(_xlfn.BITXOR(C890,B891),256)*16777216+_xlfn.BITXOR(C890,B891)*403,4294967296)</f>
        <v>0</v>
      </c>
    </row>
    <row r="892" spans="1:3">
      <c r="B892">
        <f>_xlfn.UNICODE(MID($B$883,9,1))</f>
        <v>0</v>
      </c>
      <c r="C892">
        <f>MOD(MOD(_xlfn.BITXOR(C891,B892),256)*16777216+_xlfn.BITXOR(C891,B892)*403,4294967296)</f>
        <v>0</v>
      </c>
    </row>
    <row r="893" spans="1:3">
      <c r="B893">
        <f>_xlfn.UNICODE(MID($B$883,10,1))</f>
        <v>0</v>
      </c>
      <c r="C893">
        <f>MOD(MOD(_xlfn.BITXOR(C892,B893),256)*16777216+_xlfn.BITXOR(C892,B893)*403,4294967296)</f>
        <v>0</v>
      </c>
    </row>
    <row r="894" spans="1:3">
      <c r="B894">
        <f>_xlfn.UNICODE(MID($B$883,11,1))</f>
        <v>0</v>
      </c>
      <c r="C894">
        <f>MOD(MOD(_xlfn.BITXOR(C893,B894),256)*16777216+_xlfn.BITXOR(C893,B894)*403,4294967296)</f>
        <v>0</v>
      </c>
    </row>
    <row r="895" spans="1:3">
      <c r="B895">
        <f>_xlfn.UNICODE(MID($B$883,12,1))</f>
        <v>0</v>
      </c>
      <c r="C895">
        <f>MOD(MOD(_xlfn.BITXOR(C894,B895),256)*16777216+_xlfn.BITXOR(C894,B895)*403,4294967296)</f>
        <v>0</v>
      </c>
    </row>
    <row r="896" spans="1:3">
      <c r="B896">
        <f>_xlfn.UNICODE(MID($B$883,13,1))</f>
        <v>0</v>
      </c>
      <c r="C896">
        <f>MOD(MOD(_xlfn.BITXOR(C895,B896),256)*16777216+_xlfn.BITXOR(C895,B896)*403,4294967296)</f>
        <v>0</v>
      </c>
    </row>
    <row r="897" spans="2:3">
      <c r="B897">
        <f>_xlfn.UNICODE(MID($B$883,14,1))</f>
        <v>0</v>
      </c>
      <c r="C897">
        <f>MOD(MOD(_xlfn.BITXOR(C896,B897),256)*16777216+_xlfn.BITXOR(C896,B897)*403,4294967296)</f>
        <v>0</v>
      </c>
    </row>
    <row r="898" spans="2:3">
      <c r="B898">
        <f>_xlfn.UNICODE(MID($B$883,15,1))</f>
        <v>0</v>
      </c>
      <c r="C898">
        <f>MOD(MOD(_xlfn.BITXOR(C897,B898),256)*16777216+_xlfn.BITXOR(C897,B898)*403,4294967296)</f>
        <v>0</v>
      </c>
    </row>
    <row r="899" spans="2:3">
      <c r="B899">
        <f>_xlfn.UNICODE(MID($B$883,16,1))</f>
        <v>0</v>
      </c>
      <c r="C899">
        <f>MOD(MOD(_xlfn.BITXOR(C898,B899),256)*16777216+_xlfn.BITXOR(C898,B899)*403,4294967296)</f>
        <v>0</v>
      </c>
    </row>
    <row r="900" spans="2:3">
      <c r="B900">
        <f>_xlfn.UNICODE(MID($B$883,17,1))</f>
        <v>0</v>
      </c>
      <c r="C900">
        <f>MOD(MOD(_xlfn.BITXOR(C899,B900),256)*16777216+_xlfn.BITXOR(C899,B900)*403,4294967296)</f>
        <v>0</v>
      </c>
    </row>
    <row r="901" spans="2:3">
      <c r="B901">
        <f>_xlfn.UNICODE(MID($B$883,18,1))</f>
        <v>0</v>
      </c>
      <c r="C901">
        <f>MOD(MOD(_xlfn.BITXOR(C900,B901),256)*16777216+_xlfn.BITXOR(C900,B901)*403,4294967296)</f>
        <v>0</v>
      </c>
    </row>
    <row r="902" spans="2:3">
      <c r="B902">
        <f>_xlfn.UNICODE(MID($B$883,19,1))</f>
        <v>0</v>
      </c>
      <c r="C902">
        <f>MOD(MOD(_xlfn.BITXOR(C901,B902),256)*16777216+_xlfn.BITXOR(C901,B902)*403,4294967296)</f>
        <v>0</v>
      </c>
    </row>
    <row r="903" spans="2:3">
      <c r="B903">
        <f>_xlfn.UNICODE(MID($B$883,20,1))</f>
        <v>0</v>
      </c>
      <c r="C903">
        <f>MOD(MOD(_xlfn.BITXOR(C902,B903),256)*16777216+_xlfn.BITXOR(C902,B903)*403,4294967296)</f>
        <v>0</v>
      </c>
    </row>
    <row r="904" spans="2:3">
      <c r="B904">
        <f>_xlfn.UNICODE(MID($B$883,21,1))</f>
        <v>0</v>
      </c>
      <c r="C904">
        <f>MOD(MOD(_xlfn.BITXOR(C903,B904),256)*16777216+_xlfn.BITXOR(C903,B904)*403,4294967296)</f>
        <v>0</v>
      </c>
    </row>
    <row r="905" spans="2:3">
      <c r="B905">
        <f>_xlfn.UNICODE(MID($B$883,22,1))</f>
        <v>0</v>
      </c>
      <c r="C905">
        <f>MOD(MOD(_xlfn.BITXOR(C904,B905),256)*16777216+_xlfn.BITXOR(C904,B905)*403,4294967296)</f>
        <v>0</v>
      </c>
    </row>
    <row r="906" spans="2:3">
      <c r="B906">
        <f>_xlfn.UNICODE(MID($B$883,23,1))</f>
        <v>0</v>
      </c>
      <c r="C906">
        <f>MOD(MOD(_xlfn.BITXOR(C905,B906),256)*16777216+_xlfn.BITXOR(C905,B906)*403,4294967296)</f>
        <v>0</v>
      </c>
    </row>
    <row r="907" spans="2:3">
      <c r="B907">
        <f>_xlfn.UNICODE(MID($B$883,24,1))</f>
        <v>0</v>
      </c>
      <c r="C907">
        <f>MOD(MOD(_xlfn.BITXOR(C906,B907),256)*16777216+_xlfn.BITXOR(C906,B907)*403,4294967296)</f>
        <v>0</v>
      </c>
    </row>
    <row r="908" spans="2:3">
      <c r="B908">
        <f>_xlfn.UNICODE(MID($B$883,25,1))</f>
        <v>0</v>
      </c>
      <c r="C908">
        <f>MOD(MOD(_xlfn.BITXOR(C907,B908),256)*16777216+_xlfn.BITXOR(C907,B908)*403,4294967296)</f>
        <v>0</v>
      </c>
    </row>
    <row r="909" spans="2:3">
      <c r="B909">
        <f>_xlfn.UNICODE(MID($B$883,26,1))</f>
        <v>0</v>
      </c>
      <c r="C909">
        <f>MOD(MOD(_xlfn.BITXOR(C908,B909),256)*16777216+_xlfn.BITXOR(C908,B909)*403,4294967296)</f>
        <v>0</v>
      </c>
    </row>
    <row r="910" spans="2:3">
      <c r="B910">
        <f>_xlfn.UNICODE(MID($B$883,27,1))</f>
        <v>0</v>
      </c>
      <c r="C910">
        <f>MOD(MOD(_xlfn.BITXOR(C909,B910),256)*16777216+_xlfn.BITXOR(C909,B910)*403,4294967296)</f>
        <v>0</v>
      </c>
    </row>
    <row r="911" spans="2:3">
      <c r="B911">
        <f>_xlfn.UNICODE(MID($B$883,28,1))</f>
        <v>0</v>
      </c>
      <c r="C911">
        <f>MOD(MOD(_xlfn.BITXOR(C910,B911),256)*16777216+_xlfn.BITXOR(C910,B911)*403,4294967296)</f>
        <v>0</v>
      </c>
    </row>
    <row r="912" spans="2:3">
      <c r="B912">
        <f>_xlfn.UNICODE(MID($B$883,29,1))</f>
        <v>0</v>
      </c>
      <c r="C912">
        <f>MOD(MOD(_xlfn.BITXOR(C911,B912),256)*16777216+_xlfn.BITXOR(C911,B912)*403,4294967296)</f>
        <v>0</v>
      </c>
    </row>
    <row r="913" spans="1:3">
      <c r="A913" t="s">
        <v>132</v>
      </c>
      <c r="B913">
        <f>"lve"&amp;Calcul!$B$82&amp;8</f>
        <v>0</v>
      </c>
    </row>
    <row r="914" spans="1:3">
      <c r="B914">
        <f>_xlfn.UNICODE(MID($B$913,1,1))</f>
        <v>0</v>
      </c>
      <c r="C914">
        <f>MOD(MOD(_xlfn.BITXOR(C912,B914),256)*16777216+_xlfn.BITXOR(C912,B914)*403,4294967296)</f>
        <v>0</v>
      </c>
    </row>
    <row r="915" spans="1:3">
      <c r="B915">
        <f>_xlfn.UNICODE(MID($B$913,2,1))</f>
        <v>0</v>
      </c>
      <c r="C915">
        <f>MOD(MOD(_xlfn.BITXOR(C914,B915),256)*16777216+_xlfn.BITXOR(C914,B915)*403,4294967296)</f>
        <v>0</v>
      </c>
    </row>
    <row r="916" spans="1:3">
      <c r="B916">
        <f>_xlfn.UNICODE(MID($B$913,3,1))</f>
        <v>0</v>
      </c>
      <c r="C916">
        <f>MOD(MOD(_xlfn.BITXOR(C915,B916),256)*16777216+_xlfn.BITXOR(C915,B916)*403,4294967296)</f>
        <v>0</v>
      </c>
    </row>
    <row r="917" spans="1:3">
      <c r="B917">
        <f>_xlfn.UNICODE(MID($B$913,4,1))</f>
        <v>0</v>
      </c>
      <c r="C917">
        <f>MOD(MOD(_xlfn.BITXOR(C916,B917),256)*16777216+_xlfn.BITXOR(C916,B917)*403,4294967296)</f>
        <v>0</v>
      </c>
    </row>
    <row r="918" spans="1:3">
      <c r="B918">
        <f>_xlfn.UNICODE(MID($B$913,5,1))</f>
        <v>0</v>
      </c>
      <c r="C918">
        <f>MOD(MOD(_xlfn.BITXOR(C917,B918),256)*16777216+_xlfn.BITXOR(C917,B918)*403,4294967296)</f>
        <v>0</v>
      </c>
    </row>
    <row r="919" spans="1:3">
      <c r="B919">
        <f>_xlfn.UNICODE(MID($B$913,6,1))</f>
        <v>0</v>
      </c>
      <c r="C919">
        <f>MOD(MOD(_xlfn.BITXOR(C918,B919),256)*16777216+_xlfn.BITXOR(C918,B919)*403,4294967296)</f>
        <v>0</v>
      </c>
    </row>
    <row r="920" spans="1:3">
      <c r="B920">
        <f>_xlfn.UNICODE(MID($B$913,7,1))</f>
        <v>0</v>
      </c>
      <c r="C920">
        <f>MOD(MOD(_xlfn.BITXOR(C919,B920),256)*16777216+_xlfn.BITXOR(C919,B920)*403,4294967296)</f>
        <v>0</v>
      </c>
    </row>
    <row r="921" spans="1:3">
      <c r="B921">
        <f>_xlfn.UNICODE(MID($B$913,8,1))</f>
        <v>0</v>
      </c>
      <c r="C921">
        <f>MOD(MOD(_xlfn.BITXOR(C920,B921),256)*16777216+_xlfn.BITXOR(C920,B921)*403,4294967296)</f>
        <v>0</v>
      </c>
    </row>
    <row r="922" spans="1:3">
      <c r="B922">
        <f>_xlfn.UNICODE(MID($B$913,9,1))</f>
        <v>0</v>
      </c>
      <c r="C922">
        <f>MOD(MOD(_xlfn.BITXOR(C921,B922),256)*16777216+_xlfn.BITXOR(C921,B922)*403,4294967296)</f>
        <v>0</v>
      </c>
    </row>
    <row r="923" spans="1:3">
      <c r="B923">
        <f>_xlfn.UNICODE(MID($B$913,10,1))</f>
        <v>0</v>
      </c>
      <c r="C923">
        <f>MOD(MOD(_xlfn.BITXOR(C922,B923),256)*16777216+_xlfn.BITXOR(C922,B923)*403,4294967296)</f>
        <v>0</v>
      </c>
    </row>
    <row r="924" spans="1:3">
      <c r="B924">
        <f>_xlfn.UNICODE(MID($B$913,11,1))</f>
        <v>0</v>
      </c>
      <c r="C924">
        <f>MOD(MOD(_xlfn.BITXOR(C923,B924),256)*16777216+_xlfn.BITXOR(C923,B924)*403,4294967296)</f>
        <v>0</v>
      </c>
    </row>
    <row r="925" spans="1:3">
      <c r="B925">
        <f>_xlfn.UNICODE(MID($B$913,12,1))</f>
        <v>0</v>
      </c>
      <c r="C925">
        <f>MOD(MOD(_xlfn.BITXOR(C924,B925),256)*16777216+_xlfn.BITXOR(C924,B925)*403,4294967296)</f>
        <v>0</v>
      </c>
    </row>
    <row r="926" spans="1:3">
      <c r="B926">
        <f>_xlfn.UNICODE(MID($B$913,13,1))</f>
        <v>0</v>
      </c>
      <c r="C926">
        <f>MOD(MOD(_xlfn.BITXOR(C925,B926),256)*16777216+_xlfn.BITXOR(C925,B926)*403,4294967296)</f>
        <v>0</v>
      </c>
    </row>
    <row r="927" spans="1:3">
      <c r="B927">
        <f>_xlfn.UNICODE(MID($B$913,14,1))</f>
        <v>0</v>
      </c>
      <c r="C927">
        <f>MOD(MOD(_xlfn.BITXOR(C926,B927),256)*16777216+_xlfn.BITXOR(C926,B927)*403,4294967296)</f>
        <v>0</v>
      </c>
    </row>
    <row r="928" spans="1:3">
      <c r="B928">
        <f>_xlfn.UNICODE(MID($B$913,15,1))</f>
        <v>0</v>
      </c>
      <c r="C928">
        <f>MOD(MOD(_xlfn.BITXOR(C927,B928),256)*16777216+_xlfn.BITXOR(C927,B928)*403,4294967296)</f>
        <v>0</v>
      </c>
    </row>
    <row r="929" spans="1:3">
      <c r="B929">
        <f>_xlfn.UNICODE(MID($B$913,16,1))</f>
        <v>0</v>
      </c>
      <c r="C929">
        <f>MOD(MOD(_xlfn.BITXOR(C928,B929),256)*16777216+_xlfn.BITXOR(C928,B929)*403,4294967296)</f>
        <v>0</v>
      </c>
    </row>
    <row r="930" spans="1:3">
      <c r="B930">
        <f>_xlfn.UNICODE(MID($B$913,17,1))</f>
        <v>0</v>
      </c>
      <c r="C930">
        <f>MOD(MOD(_xlfn.BITXOR(C929,B930),256)*16777216+_xlfn.BITXOR(C929,B930)*403,4294967296)</f>
        <v>0</v>
      </c>
    </row>
    <row r="931" spans="1:3">
      <c r="B931">
        <f>_xlfn.UNICODE(MID($B$913,18,1))</f>
        <v>0</v>
      </c>
      <c r="C931">
        <f>MOD(MOD(_xlfn.BITXOR(C930,B931),256)*16777216+_xlfn.BITXOR(C930,B931)*403,4294967296)</f>
        <v>0</v>
      </c>
    </row>
    <row r="932" spans="1:3">
      <c r="B932">
        <f>_xlfn.UNICODE(MID($B$913,19,1))</f>
        <v>0</v>
      </c>
      <c r="C932">
        <f>MOD(MOD(_xlfn.BITXOR(C931,B932),256)*16777216+_xlfn.BITXOR(C931,B932)*403,4294967296)</f>
        <v>0</v>
      </c>
    </row>
    <row r="933" spans="1:3">
      <c r="B933">
        <f>_xlfn.UNICODE(MID($B$913,20,1))</f>
        <v>0</v>
      </c>
      <c r="C933">
        <f>MOD(MOD(_xlfn.BITXOR(C932,B933),256)*16777216+_xlfn.BITXOR(C932,B933)*403,4294967296)</f>
        <v>0</v>
      </c>
    </row>
    <row r="934" spans="1:3">
      <c r="B934">
        <f>_xlfn.UNICODE(MID($B$913,21,1))</f>
        <v>0</v>
      </c>
      <c r="C934">
        <f>MOD(MOD(_xlfn.BITXOR(C933,B934),256)*16777216+_xlfn.BITXOR(C933,B934)*403,4294967296)</f>
        <v>0</v>
      </c>
    </row>
    <row r="935" spans="1:3">
      <c r="B935">
        <f>_xlfn.UNICODE(MID($B$913,22,1))</f>
        <v>0</v>
      </c>
      <c r="C935">
        <f>MOD(MOD(_xlfn.BITXOR(C934,B935),256)*16777216+_xlfn.BITXOR(C934,B935)*403,4294967296)</f>
        <v>0</v>
      </c>
    </row>
    <row r="936" spans="1:3">
      <c r="B936">
        <f>_xlfn.UNICODE(MID($B$913,23,1))</f>
        <v>0</v>
      </c>
      <c r="C936">
        <f>MOD(MOD(_xlfn.BITXOR(C935,B936),256)*16777216+_xlfn.BITXOR(C935,B936)*403,4294967296)</f>
        <v>0</v>
      </c>
    </row>
    <row r="937" spans="1:3">
      <c r="B937">
        <f>_xlfn.UNICODE(MID($B$913,24,1))</f>
        <v>0</v>
      </c>
      <c r="C937">
        <f>MOD(MOD(_xlfn.BITXOR(C936,B937),256)*16777216+_xlfn.BITXOR(C936,B937)*403,4294967296)</f>
        <v>0</v>
      </c>
    </row>
    <row r="938" spans="1:3">
      <c r="B938">
        <f>_xlfn.UNICODE(MID($B$913,25,1))</f>
        <v>0</v>
      </c>
      <c r="C938">
        <f>MOD(MOD(_xlfn.BITXOR(C937,B938),256)*16777216+_xlfn.BITXOR(C937,B938)*403,4294967296)</f>
        <v>0</v>
      </c>
    </row>
    <row r="939" spans="1:3">
      <c r="B939">
        <f>_xlfn.UNICODE(MID($B$913,26,1))</f>
        <v>0</v>
      </c>
      <c r="C939">
        <f>MOD(MOD(_xlfn.BITXOR(C938,B939),256)*16777216+_xlfn.BITXOR(C938,B939)*403,4294967296)</f>
        <v>0</v>
      </c>
    </row>
    <row r="940" spans="1:3">
      <c r="B940">
        <f>_xlfn.UNICODE(MID($B$913,27,1))</f>
        <v>0</v>
      </c>
      <c r="C940">
        <f>MOD(MOD(_xlfn.BITXOR(C939,B940),256)*16777216+_xlfn.BITXOR(C939,B940)*403,4294967296)</f>
        <v>0</v>
      </c>
    </row>
    <row r="941" spans="1:3">
      <c r="B941">
        <f>_xlfn.UNICODE(MID($B$913,28,1))</f>
        <v>0</v>
      </c>
      <c r="C941">
        <f>MOD(MOD(_xlfn.BITXOR(C940,B941),256)*16777216+_xlfn.BITXOR(C940,B941)*403,4294967296)</f>
        <v>0</v>
      </c>
    </row>
    <row r="942" spans="1:3">
      <c r="B942">
        <f>_xlfn.UNICODE(MID($B$913,29,1))</f>
        <v>0</v>
      </c>
      <c r="C942">
        <f>MOD(MOD(_xlfn.BITXOR(C941,B942),256)*16777216+_xlfn.BITXOR(C941,B942)*403,4294967296)</f>
        <v>0</v>
      </c>
    </row>
    <row r="943" spans="1:3">
      <c r="A943" t="s">
        <v>136</v>
      </c>
      <c r="B943">
        <f>LEFT(MID('Paramètres'!$D$2,MOD(C822,32)+1,1)&amp;MID('Paramètres'!$D$2,MOD(INT(C822/32),32)+1,1)&amp;MID('Paramètres'!$D$2,MOD(C852,32)+1,1)&amp;MID('Paramètres'!$D$2,MOD(INT(C852/32),32)+1,1)&amp;MID('Paramètres'!$D$2,MOD(C882,32)+1,1)&amp;MID('Paramètres'!$D$2,MOD(INT(C882/32),32)+1,1)&amp;MID('Paramètres'!$D$2,MOD(C912,32)+1,1)&amp;MID('Paramètres'!$D$2,MOD(INT(C912/32),32)+1,1)&amp;MID('Paramètres'!$D$2,MOD(C942,32)+1,1)&amp;MID('Paramètres'!$D$2,MOD(INT(C942/32),32)+1,1),10)</f>
        <v>0</v>
      </c>
    </row>
    <row r="945" spans="1:5">
      <c r="A945" t="s">
        <v>142</v>
      </c>
      <c r="B945">
        <f>IF(ISNUMBER('Racco D2'!$H$29),'Racco D2'!$H$29+'Paramètres'!$B$2,"")</f>
        <v>0</v>
      </c>
      <c r="C945">
        <f>IF(Calcul!$B$945="","",RIGHT("0"&amp;DAY(Calcul!$B$945),2)&amp;"/"&amp;RIGHT("0"&amp;MONTH(Calcul!$B$945),2)&amp;"/"&amp;YEAR(Calcul!$B$945))</f>
        <v>0</v>
      </c>
      <c r="D945">
        <f>IF(Calcul!$B$945="","",CHOOSE(WEEKDAY(Calcul!$B$945),"dim.","lun.","mar.","mer.","jeu.","ven.","sam."))</f>
        <v>0</v>
      </c>
      <c r="E945">
        <f>IF(Calcul!$B$945="","",IF(COUNTIF('Paramètres'!$B$6:$B$247,Calcul!$B$945)&gt;0,"Férié",IF(WEEKDAY(Calcul!$B$945,2)&gt;5,"Week-end","")))</f>
        <v>0</v>
      </c>
    </row>
    <row r="946" spans="1:5">
      <c r="A946" t="s">
        <v>143</v>
      </c>
      <c r="B946">
        <f>IF(ISNUMBER('Racco D2'!$H$29),'Racco D2'!$H$29+'Paramètres'!$B$3,"")</f>
        <v>0</v>
      </c>
      <c r="C946">
        <f>IF(Calcul!$B$946="","",RIGHT("0"&amp;DAY(Calcul!$B$946),2)&amp;"/"&amp;RIGHT("0"&amp;MONTH(Calcul!$B$946),2)&amp;"/"&amp;YEAR(Calcul!$B$946))</f>
        <v>0</v>
      </c>
      <c r="D946">
        <f>IF(Calcul!$B$946="","",CHOOSE(WEEKDAY(Calcul!$B$946),"dim.","lun.","mar.","mer.","jeu.","ven.","sam."))</f>
        <v>0</v>
      </c>
      <c r="E946">
        <f>IF(Calcul!$B$946="","",IF(COUNTIF('Paramètres'!$B$6:$B$247,Calcul!$B$946)&gt;0,"Férié",IF(WEEKDAY(Calcul!$B$946,2)&gt;5,"Week-end","")))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7"/>
  <sheetViews>
    <sheetView showGridLines="0" workbookViewId="0"/>
  </sheetViews>
  <sheetFormatPr defaultRowHeight="15"/>
  <cols>
    <col min="1" max="1" width="34.7109375" customWidth="1"/>
    <col min="2" max="2" width="14.7109375" customWidth="1"/>
  </cols>
  <sheetData>
    <row r="1" spans="1:4">
      <c r="A1" s="51" t="s">
        <v>0</v>
      </c>
      <c r="D1" s="52" t="s">
        <v>4</v>
      </c>
    </row>
    <row r="2" spans="1:4">
      <c r="A2" s="53" t="s">
        <v>1</v>
      </c>
      <c r="B2" s="54">
        <v>30</v>
      </c>
      <c r="D2" s="55" t="s">
        <v>5</v>
      </c>
    </row>
    <row r="3" spans="1:4">
      <c r="A3" s="53" t="s">
        <v>2</v>
      </c>
      <c r="B3" s="54">
        <v>65</v>
      </c>
    </row>
    <row r="5" spans="1:4">
      <c r="A5" s="51" t="s">
        <v>3</v>
      </c>
    </row>
    <row r="6" spans="1:4">
      <c r="B6" s="56">
        <v>45292</v>
      </c>
    </row>
    <row r="7" spans="1:4">
      <c r="B7" s="56">
        <v>45383</v>
      </c>
    </row>
    <row r="8" spans="1:4">
      <c r="B8" s="56">
        <v>45413</v>
      </c>
    </row>
    <row r="9" spans="1:4">
      <c r="B9" s="56">
        <v>45420</v>
      </c>
    </row>
    <row r="10" spans="1:4">
      <c r="B10" s="56">
        <v>45421</v>
      </c>
    </row>
    <row r="11" spans="1:4">
      <c r="B11" s="56">
        <v>45432</v>
      </c>
    </row>
    <row r="12" spans="1:4">
      <c r="B12" s="56">
        <v>45487</v>
      </c>
    </row>
    <row r="13" spans="1:4">
      <c r="B13" s="56">
        <v>45519</v>
      </c>
    </row>
    <row r="14" spans="1:4">
      <c r="B14" s="56">
        <v>45597</v>
      </c>
    </row>
    <row r="15" spans="1:4">
      <c r="B15" s="56">
        <v>45607</v>
      </c>
    </row>
    <row r="16" spans="1:4">
      <c r="B16" s="56">
        <v>45651</v>
      </c>
    </row>
    <row r="17" spans="2:2">
      <c r="B17" s="56">
        <v>45658</v>
      </c>
    </row>
    <row r="18" spans="2:2">
      <c r="B18" s="56">
        <v>45768</v>
      </c>
    </row>
    <row r="19" spans="2:2">
      <c r="B19" s="56">
        <v>45778</v>
      </c>
    </row>
    <row r="20" spans="2:2">
      <c r="B20" s="56">
        <v>45785</v>
      </c>
    </row>
    <row r="21" spans="2:2">
      <c r="B21" s="56">
        <v>45806</v>
      </c>
    </row>
    <row r="22" spans="2:2">
      <c r="B22" s="56">
        <v>45817</v>
      </c>
    </row>
    <row r="23" spans="2:2">
      <c r="B23" s="56">
        <v>45852</v>
      </c>
    </row>
    <row r="24" spans="2:2">
      <c r="B24" s="56">
        <v>45884</v>
      </c>
    </row>
    <row r="25" spans="2:2">
      <c r="B25" s="56">
        <v>45962</v>
      </c>
    </row>
    <row r="26" spans="2:2">
      <c r="B26" s="56">
        <v>45972</v>
      </c>
    </row>
    <row r="27" spans="2:2">
      <c r="B27" s="56">
        <v>46016</v>
      </c>
    </row>
    <row r="28" spans="2:2">
      <c r="B28" s="56">
        <v>46023</v>
      </c>
    </row>
    <row r="29" spans="2:2">
      <c r="B29" s="56">
        <v>46118</v>
      </c>
    </row>
    <row r="30" spans="2:2">
      <c r="B30" s="56">
        <v>46143</v>
      </c>
    </row>
    <row r="31" spans="2:2">
      <c r="B31" s="56">
        <v>46150</v>
      </c>
    </row>
    <row r="32" spans="2:2">
      <c r="B32" s="56">
        <v>46156</v>
      </c>
    </row>
    <row r="33" spans="2:2">
      <c r="B33" s="56">
        <v>46167</v>
      </c>
    </row>
    <row r="34" spans="2:2">
      <c r="B34" s="56">
        <v>46217</v>
      </c>
    </row>
    <row r="35" spans="2:2">
      <c r="B35" s="56">
        <v>46249</v>
      </c>
    </row>
    <row r="36" spans="2:2">
      <c r="B36" s="56">
        <v>46327</v>
      </c>
    </row>
    <row r="37" spans="2:2">
      <c r="B37" s="56">
        <v>46337</v>
      </c>
    </row>
    <row r="38" spans="2:2">
      <c r="B38" s="56">
        <v>46381</v>
      </c>
    </row>
    <row r="39" spans="2:2">
      <c r="B39" s="56">
        <v>46388</v>
      </c>
    </row>
    <row r="40" spans="2:2">
      <c r="B40" s="56">
        <v>46475</v>
      </c>
    </row>
    <row r="41" spans="2:2">
      <c r="B41" s="56">
        <v>46508</v>
      </c>
    </row>
    <row r="42" spans="2:2">
      <c r="B42" s="56">
        <v>46515</v>
      </c>
    </row>
    <row r="43" spans="2:2">
      <c r="B43" s="56">
        <v>46513</v>
      </c>
    </row>
    <row r="44" spans="2:2">
      <c r="B44" s="56">
        <v>46524</v>
      </c>
    </row>
    <row r="45" spans="2:2">
      <c r="B45" s="56">
        <v>46582</v>
      </c>
    </row>
    <row r="46" spans="2:2">
      <c r="B46" s="56">
        <v>46614</v>
      </c>
    </row>
    <row r="47" spans="2:2">
      <c r="B47" s="56">
        <v>46692</v>
      </c>
    </row>
    <row r="48" spans="2:2">
      <c r="B48" s="56">
        <v>46702</v>
      </c>
    </row>
    <row r="49" spans="2:2">
      <c r="B49" s="56">
        <v>46746</v>
      </c>
    </row>
    <row r="50" spans="2:2">
      <c r="B50" s="56">
        <v>46753</v>
      </c>
    </row>
    <row r="51" spans="2:2">
      <c r="B51" s="56">
        <v>46860</v>
      </c>
    </row>
    <row r="52" spans="2:2">
      <c r="B52" s="56">
        <v>46874</v>
      </c>
    </row>
    <row r="53" spans="2:2">
      <c r="B53" s="56">
        <v>46881</v>
      </c>
    </row>
    <row r="54" spans="2:2">
      <c r="B54" s="56">
        <v>46898</v>
      </c>
    </row>
    <row r="55" spans="2:2">
      <c r="B55" s="56">
        <v>46909</v>
      </c>
    </row>
    <row r="56" spans="2:2">
      <c r="B56" s="56">
        <v>46948</v>
      </c>
    </row>
    <row r="57" spans="2:2">
      <c r="B57" s="56">
        <v>46980</v>
      </c>
    </row>
    <row r="58" spans="2:2">
      <c r="B58" s="56">
        <v>47058</v>
      </c>
    </row>
    <row r="59" spans="2:2">
      <c r="B59" s="56">
        <v>47068</v>
      </c>
    </row>
    <row r="60" spans="2:2">
      <c r="B60" s="56">
        <v>47112</v>
      </c>
    </row>
    <row r="61" spans="2:2">
      <c r="B61" s="56">
        <v>47119</v>
      </c>
    </row>
    <row r="62" spans="2:2">
      <c r="B62" s="56">
        <v>47210</v>
      </c>
    </row>
    <row r="63" spans="2:2">
      <c r="B63" s="56">
        <v>47239</v>
      </c>
    </row>
    <row r="64" spans="2:2">
      <c r="B64" s="56">
        <v>47246</v>
      </c>
    </row>
    <row r="65" spans="2:2">
      <c r="B65" s="56">
        <v>47248</v>
      </c>
    </row>
    <row r="66" spans="2:2">
      <c r="B66" s="56">
        <v>47259</v>
      </c>
    </row>
    <row r="67" spans="2:2">
      <c r="B67" s="56">
        <v>47313</v>
      </c>
    </row>
    <row r="68" spans="2:2">
      <c r="B68" s="56">
        <v>47345</v>
      </c>
    </row>
    <row r="69" spans="2:2">
      <c r="B69" s="56">
        <v>47423</v>
      </c>
    </row>
    <row r="70" spans="2:2">
      <c r="B70" s="56">
        <v>47433</v>
      </c>
    </row>
    <row r="71" spans="2:2">
      <c r="B71" s="56">
        <v>47477</v>
      </c>
    </row>
    <row r="72" spans="2:2">
      <c r="B72" s="56">
        <v>47484</v>
      </c>
    </row>
    <row r="73" spans="2:2">
      <c r="B73" s="56">
        <v>47595</v>
      </c>
    </row>
    <row r="74" spans="2:2">
      <c r="B74" s="56">
        <v>47604</v>
      </c>
    </row>
    <row r="75" spans="2:2">
      <c r="B75" s="56">
        <v>47611</v>
      </c>
    </row>
    <row r="76" spans="2:2">
      <c r="B76" s="56">
        <v>47633</v>
      </c>
    </row>
    <row r="77" spans="2:2">
      <c r="B77" s="56">
        <v>47644</v>
      </c>
    </row>
    <row r="78" spans="2:2">
      <c r="B78" s="56">
        <v>47678</v>
      </c>
    </row>
    <row r="79" spans="2:2">
      <c r="B79" s="56">
        <v>47710</v>
      </c>
    </row>
    <row r="80" spans="2:2">
      <c r="B80" s="56">
        <v>47788</v>
      </c>
    </row>
    <row r="81" spans="2:2">
      <c r="B81" s="56">
        <v>47798</v>
      </c>
    </row>
    <row r="82" spans="2:2">
      <c r="B82" s="56">
        <v>47842</v>
      </c>
    </row>
    <row r="83" spans="2:2">
      <c r="B83" s="56">
        <v>47849</v>
      </c>
    </row>
    <row r="84" spans="2:2">
      <c r="B84" s="56">
        <v>47952</v>
      </c>
    </row>
    <row r="85" spans="2:2">
      <c r="B85" s="56">
        <v>47969</v>
      </c>
    </row>
    <row r="86" spans="2:2">
      <c r="B86" s="56">
        <v>47976</v>
      </c>
    </row>
    <row r="87" spans="2:2">
      <c r="B87" s="56">
        <v>47990</v>
      </c>
    </row>
    <row r="88" spans="2:2">
      <c r="B88" s="56">
        <v>48001</v>
      </c>
    </row>
    <row r="89" spans="2:2">
      <c r="B89" s="56">
        <v>48043</v>
      </c>
    </row>
    <row r="90" spans="2:2">
      <c r="B90" s="56">
        <v>48075</v>
      </c>
    </row>
    <row r="91" spans="2:2">
      <c r="B91" s="56">
        <v>48153</v>
      </c>
    </row>
    <row r="92" spans="2:2">
      <c r="B92" s="56">
        <v>48163</v>
      </c>
    </row>
    <row r="93" spans="2:2">
      <c r="B93" s="56">
        <v>48207</v>
      </c>
    </row>
    <row r="94" spans="2:2">
      <c r="B94" s="56">
        <v>48214</v>
      </c>
    </row>
    <row r="95" spans="2:2">
      <c r="B95" s="56">
        <v>48302</v>
      </c>
    </row>
    <row r="96" spans="2:2">
      <c r="B96" s="56">
        <v>48335</v>
      </c>
    </row>
    <row r="97" spans="2:2">
      <c r="B97" s="56">
        <v>48342</v>
      </c>
    </row>
    <row r="98" spans="2:2">
      <c r="B98" s="56">
        <v>48340</v>
      </c>
    </row>
    <row r="99" spans="2:2">
      <c r="B99" s="56">
        <v>48351</v>
      </c>
    </row>
    <row r="100" spans="2:2">
      <c r="B100" s="56">
        <v>48409</v>
      </c>
    </row>
    <row r="101" spans="2:2">
      <c r="B101" s="56">
        <v>48441</v>
      </c>
    </row>
    <row r="102" spans="2:2">
      <c r="B102" s="56">
        <v>48519</v>
      </c>
    </row>
    <row r="103" spans="2:2">
      <c r="B103" s="56">
        <v>48529</v>
      </c>
    </row>
    <row r="104" spans="2:2">
      <c r="B104" s="56">
        <v>48573</v>
      </c>
    </row>
    <row r="105" spans="2:2">
      <c r="B105" s="56">
        <v>48580</v>
      </c>
    </row>
    <row r="106" spans="2:2">
      <c r="B106" s="56">
        <v>48687</v>
      </c>
    </row>
    <row r="107" spans="2:2">
      <c r="B107" s="56">
        <v>48700</v>
      </c>
    </row>
    <row r="108" spans="2:2">
      <c r="B108" s="56">
        <v>48707</v>
      </c>
    </row>
    <row r="109" spans="2:2">
      <c r="B109" s="56">
        <v>48725</v>
      </c>
    </row>
    <row r="110" spans="2:2">
      <c r="B110" s="56">
        <v>48736</v>
      </c>
    </row>
    <row r="111" spans="2:2">
      <c r="B111" s="56">
        <v>48774</v>
      </c>
    </row>
    <row r="112" spans="2:2">
      <c r="B112" s="56">
        <v>48806</v>
      </c>
    </row>
    <row r="113" spans="2:2">
      <c r="B113" s="56">
        <v>48884</v>
      </c>
    </row>
    <row r="114" spans="2:2">
      <c r="B114" s="56">
        <v>48894</v>
      </c>
    </row>
    <row r="115" spans="2:2">
      <c r="B115" s="56">
        <v>48938</v>
      </c>
    </row>
    <row r="116" spans="2:2">
      <c r="B116" s="56">
        <v>48945</v>
      </c>
    </row>
    <row r="117" spans="2:2">
      <c r="B117" s="56">
        <v>49044</v>
      </c>
    </row>
    <row r="118" spans="2:2">
      <c r="B118" s="56">
        <v>49065</v>
      </c>
    </row>
    <row r="119" spans="2:2">
      <c r="B119" s="56">
        <v>49072</v>
      </c>
    </row>
    <row r="120" spans="2:2">
      <c r="B120" s="56">
        <v>49082</v>
      </c>
    </row>
    <row r="121" spans="2:2">
      <c r="B121" s="56">
        <v>49093</v>
      </c>
    </row>
    <row r="122" spans="2:2">
      <c r="B122" s="56">
        <v>49139</v>
      </c>
    </row>
    <row r="123" spans="2:2">
      <c r="B123" s="56">
        <v>49171</v>
      </c>
    </row>
    <row r="124" spans="2:2">
      <c r="B124" s="56">
        <v>49249</v>
      </c>
    </row>
    <row r="125" spans="2:2">
      <c r="B125" s="56">
        <v>49259</v>
      </c>
    </row>
    <row r="126" spans="2:2">
      <c r="B126" s="56">
        <v>49303</v>
      </c>
    </row>
    <row r="127" spans="2:2">
      <c r="B127" s="56">
        <v>49310</v>
      </c>
    </row>
    <row r="128" spans="2:2">
      <c r="B128" s="56">
        <v>49394</v>
      </c>
    </row>
    <row r="129" spans="2:2">
      <c r="B129" s="56">
        <v>49430</v>
      </c>
    </row>
    <row r="130" spans="2:2">
      <c r="B130" s="56">
        <v>49437</v>
      </c>
    </row>
    <row r="131" spans="2:2">
      <c r="B131" s="56">
        <v>49432</v>
      </c>
    </row>
    <row r="132" spans="2:2">
      <c r="B132" s="56">
        <v>49443</v>
      </c>
    </row>
    <row r="133" spans="2:2">
      <c r="B133" s="56">
        <v>49504</v>
      </c>
    </row>
    <row r="134" spans="2:2">
      <c r="B134" s="56">
        <v>49536</v>
      </c>
    </row>
    <row r="135" spans="2:2">
      <c r="B135" s="56">
        <v>49614</v>
      </c>
    </row>
    <row r="136" spans="2:2">
      <c r="B136" s="56">
        <v>49624</v>
      </c>
    </row>
    <row r="137" spans="2:2">
      <c r="B137" s="56">
        <v>49668</v>
      </c>
    </row>
    <row r="138" spans="2:2">
      <c r="B138" s="56">
        <v>49675</v>
      </c>
    </row>
    <row r="139" spans="2:2">
      <c r="B139" s="56">
        <v>49779</v>
      </c>
    </row>
    <row r="140" spans="2:2">
      <c r="B140" s="56">
        <v>49796</v>
      </c>
    </row>
    <row r="141" spans="2:2">
      <c r="B141" s="56">
        <v>49803</v>
      </c>
    </row>
    <row r="142" spans="2:2">
      <c r="B142" s="56">
        <v>49817</v>
      </c>
    </row>
    <row r="143" spans="2:2">
      <c r="B143" s="56">
        <v>49828</v>
      </c>
    </row>
    <row r="144" spans="2:2">
      <c r="B144" s="56">
        <v>49870</v>
      </c>
    </row>
    <row r="145" spans="2:2">
      <c r="B145" s="56">
        <v>49902</v>
      </c>
    </row>
    <row r="146" spans="2:2">
      <c r="B146" s="56">
        <v>49980</v>
      </c>
    </row>
    <row r="147" spans="2:2">
      <c r="B147" s="56">
        <v>49990</v>
      </c>
    </row>
    <row r="148" spans="2:2">
      <c r="B148" s="56">
        <v>50034</v>
      </c>
    </row>
    <row r="149" spans="2:2">
      <c r="B149" s="56">
        <v>50041</v>
      </c>
    </row>
    <row r="150" spans="2:2">
      <c r="B150" s="56">
        <v>50136</v>
      </c>
    </row>
    <row r="151" spans="2:2">
      <c r="B151" s="56">
        <v>50161</v>
      </c>
    </row>
    <row r="152" spans="2:2">
      <c r="B152" s="56">
        <v>50168</v>
      </c>
    </row>
    <row r="153" spans="2:2">
      <c r="B153" s="56">
        <v>50174</v>
      </c>
    </row>
    <row r="154" spans="2:2">
      <c r="B154" s="56">
        <v>50185</v>
      </c>
    </row>
    <row r="155" spans="2:2">
      <c r="B155" s="56">
        <v>50235</v>
      </c>
    </row>
    <row r="156" spans="2:2">
      <c r="B156" s="56">
        <v>50267</v>
      </c>
    </row>
    <row r="157" spans="2:2">
      <c r="B157" s="56">
        <v>50345</v>
      </c>
    </row>
    <row r="158" spans="2:2">
      <c r="B158" s="56">
        <v>50355</v>
      </c>
    </row>
    <row r="159" spans="2:2">
      <c r="B159" s="56">
        <v>50399</v>
      </c>
    </row>
    <row r="160" spans="2:2">
      <c r="B160" s="56">
        <v>50406</v>
      </c>
    </row>
    <row r="161" spans="2:2">
      <c r="B161" s="56">
        <v>50521</v>
      </c>
    </row>
    <row r="162" spans="2:2">
      <c r="B162" s="56">
        <v>50526</v>
      </c>
    </row>
    <row r="163" spans="2:2">
      <c r="B163" s="56">
        <v>50533</v>
      </c>
    </row>
    <row r="164" spans="2:2">
      <c r="B164" s="56">
        <v>50559</v>
      </c>
    </row>
    <row r="165" spans="2:2">
      <c r="B165" s="56">
        <v>50570</v>
      </c>
    </row>
    <row r="166" spans="2:2">
      <c r="B166" s="56">
        <v>50600</v>
      </c>
    </row>
    <row r="167" spans="2:2">
      <c r="B167" s="56">
        <v>50632</v>
      </c>
    </row>
    <row r="168" spans="2:2">
      <c r="B168" s="56">
        <v>50710</v>
      </c>
    </row>
    <row r="169" spans="2:2">
      <c r="B169" s="56">
        <v>50720</v>
      </c>
    </row>
    <row r="170" spans="2:2">
      <c r="B170" s="56">
        <v>50764</v>
      </c>
    </row>
    <row r="171" spans="2:2">
      <c r="B171" s="56">
        <v>50771</v>
      </c>
    </row>
    <row r="172" spans="2:2">
      <c r="B172" s="56">
        <v>50871</v>
      </c>
    </row>
    <row r="173" spans="2:2">
      <c r="B173" s="56">
        <v>50891</v>
      </c>
    </row>
    <row r="174" spans="2:2">
      <c r="B174" s="56">
        <v>50898</v>
      </c>
    </row>
    <row r="175" spans="2:2">
      <c r="B175" s="56">
        <v>50909</v>
      </c>
    </row>
    <row r="176" spans="2:2">
      <c r="B176" s="56">
        <v>50920</v>
      </c>
    </row>
    <row r="177" spans="2:2">
      <c r="B177" s="56">
        <v>50965</v>
      </c>
    </row>
    <row r="178" spans="2:2">
      <c r="B178" s="56">
        <v>50997</v>
      </c>
    </row>
    <row r="179" spans="2:2">
      <c r="B179" s="56">
        <v>51075</v>
      </c>
    </row>
    <row r="180" spans="2:2">
      <c r="B180" s="56">
        <v>51085</v>
      </c>
    </row>
    <row r="181" spans="2:2">
      <c r="B181" s="56">
        <v>51129</v>
      </c>
    </row>
    <row r="182" spans="2:2">
      <c r="B182" s="56">
        <v>51136</v>
      </c>
    </row>
    <row r="183" spans="2:2">
      <c r="B183" s="56">
        <v>51228</v>
      </c>
    </row>
    <row r="184" spans="2:2">
      <c r="B184" s="56">
        <v>51257</v>
      </c>
    </row>
    <row r="185" spans="2:2">
      <c r="B185" s="56">
        <v>51264</v>
      </c>
    </row>
    <row r="186" spans="2:2">
      <c r="B186" s="56">
        <v>51266</v>
      </c>
    </row>
    <row r="187" spans="2:2">
      <c r="B187" s="56">
        <v>51277</v>
      </c>
    </row>
    <row r="188" spans="2:2">
      <c r="B188" s="56">
        <v>51331</v>
      </c>
    </row>
    <row r="189" spans="2:2">
      <c r="B189" s="56">
        <v>51363</v>
      </c>
    </row>
    <row r="190" spans="2:2">
      <c r="B190" s="56">
        <v>51441</v>
      </c>
    </row>
    <row r="191" spans="2:2">
      <c r="B191" s="56">
        <v>51451</v>
      </c>
    </row>
    <row r="192" spans="2:2">
      <c r="B192" s="56">
        <v>51495</v>
      </c>
    </row>
    <row r="193" spans="2:2">
      <c r="B193" s="56">
        <v>51502</v>
      </c>
    </row>
    <row r="194" spans="2:2">
      <c r="B194" s="56">
        <v>51613</v>
      </c>
    </row>
    <row r="195" spans="2:2">
      <c r="B195" s="56">
        <v>51622</v>
      </c>
    </row>
    <row r="196" spans="2:2">
      <c r="B196" s="56">
        <v>51629</v>
      </c>
    </row>
    <row r="197" spans="2:2">
      <c r="B197" s="56">
        <v>51651</v>
      </c>
    </row>
    <row r="198" spans="2:2">
      <c r="B198" s="56">
        <v>51662</v>
      </c>
    </row>
    <row r="199" spans="2:2">
      <c r="B199" s="56">
        <v>51696</v>
      </c>
    </row>
    <row r="200" spans="2:2">
      <c r="B200" s="56">
        <v>51728</v>
      </c>
    </row>
    <row r="201" spans="2:2">
      <c r="B201" s="56">
        <v>51806</v>
      </c>
    </row>
    <row r="202" spans="2:2">
      <c r="B202" s="56">
        <v>51816</v>
      </c>
    </row>
    <row r="203" spans="2:2">
      <c r="B203" s="56">
        <v>51860</v>
      </c>
    </row>
    <row r="204" spans="2:2">
      <c r="B204" s="56">
        <v>51867</v>
      </c>
    </row>
    <row r="205" spans="2:2">
      <c r="B205" s="56">
        <v>51963</v>
      </c>
    </row>
    <row r="206" spans="2:2">
      <c r="B206" s="56">
        <v>51987</v>
      </c>
    </row>
    <row r="207" spans="2:2">
      <c r="B207" s="56">
        <v>51994</v>
      </c>
    </row>
    <row r="208" spans="2:2">
      <c r="B208" s="56">
        <v>52001</v>
      </c>
    </row>
    <row r="209" spans="2:2">
      <c r="B209" s="56">
        <v>52012</v>
      </c>
    </row>
    <row r="210" spans="2:2">
      <c r="B210" s="56">
        <v>52061</v>
      </c>
    </row>
    <row r="211" spans="2:2">
      <c r="B211" s="56">
        <v>52093</v>
      </c>
    </row>
    <row r="212" spans="2:2">
      <c r="B212" s="56">
        <v>52171</v>
      </c>
    </row>
    <row r="213" spans="2:2">
      <c r="B213" s="56">
        <v>52181</v>
      </c>
    </row>
    <row r="214" spans="2:2">
      <c r="B214" s="56">
        <v>52225</v>
      </c>
    </row>
    <row r="215" spans="2:2">
      <c r="B215" s="56">
        <v>52232</v>
      </c>
    </row>
    <row r="216" spans="2:2">
      <c r="B216" s="56">
        <v>52320</v>
      </c>
    </row>
    <row r="217" spans="2:2">
      <c r="B217" s="56">
        <v>52352</v>
      </c>
    </row>
    <row r="218" spans="2:2">
      <c r="B218" s="56">
        <v>52359</v>
      </c>
    </row>
    <row r="219" spans="2:2">
      <c r="B219" s="56">
        <v>52358</v>
      </c>
    </row>
    <row r="220" spans="2:2">
      <c r="B220" s="56">
        <v>52369</v>
      </c>
    </row>
    <row r="221" spans="2:2">
      <c r="B221" s="56">
        <v>52426</v>
      </c>
    </row>
    <row r="222" spans="2:2">
      <c r="B222" s="56">
        <v>52458</v>
      </c>
    </row>
    <row r="223" spans="2:2">
      <c r="B223" s="56">
        <v>52536</v>
      </c>
    </row>
    <row r="224" spans="2:2">
      <c r="B224" s="56">
        <v>52546</v>
      </c>
    </row>
    <row r="225" spans="2:2">
      <c r="B225" s="56">
        <v>52590</v>
      </c>
    </row>
    <row r="226" spans="2:2">
      <c r="B226" s="56">
        <v>52597</v>
      </c>
    </row>
    <row r="227" spans="2:2">
      <c r="B227" s="56">
        <v>52705</v>
      </c>
    </row>
    <row r="228" spans="2:2">
      <c r="B228" s="56">
        <v>52718</v>
      </c>
    </row>
    <row r="229" spans="2:2">
      <c r="B229" s="56">
        <v>52725</v>
      </c>
    </row>
    <row r="230" spans="2:2">
      <c r="B230" s="56">
        <v>52743</v>
      </c>
    </row>
    <row r="231" spans="2:2">
      <c r="B231" s="56">
        <v>52754</v>
      </c>
    </row>
    <row r="232" spans="2:2">
      <c r="B232" s="56">
        <v>52792</v>
      </c>
    </row>
    <row r="233" spans="2:2">
      <c r="B233" s="56">
        <v>52824</v>
      </c>
    </row>
    <row r="234" spans="2:2">
      <c r="B234" s="56">
        <v>52902</v>
      </c>
    </row>
    <row r="235" spans="2:2">
      <c r="B235" s="56">
        <v>52912</v>
      </c>
    </row>
    <row r="236" spans="2:2">
      <c r="B236" s="56">
        <v>52956</v>
      </c>
    </row>
    <row r="237" spans="2:2">
      <c r="B237" s="56">
        <v>52963</v>
      </c>
    </row>
    <row r="238" spans="2:2">
      <c r="B238" s="56">
        <v>53062</v>
      </c>
    </row>
    <row r="239" spans="2:2">
      <c r="B239" s="56">
        <v>53083</v>
      </c>
    </row>
    <row r="240" spans="2:2">
      <c r="B240" s="56">
        <v>53090</v>
      </c>
    </row>
    <row r="241" spans="2:2">
      <c r="B241" s="56">
        <v>53100</v>
      </c>
    </row>
    <row r="242" spans="2:2">
      <c r="B242" s="56">
        <v>53111</v>
      </c>
    </row>
    <row r="243" spans="2:2">
      <c r="B243" s="56">
        <v>53157</v>
      </c>
    </row>
    <row r="244" spans="2:2">
      <c r="B244" s="56">
        <v>53189</v>
      </c>
    </row>
    <row r="245" spans="2:2">
      <c r="B245" s="56">
        <v>53267</v>
      </c>
    </row>
    <row r="246" spans="2:2">
      <c r="B246" s="56">
        <v>53277</v>
      </c>
    </row>
    <row r="247" spans="2:2">
      <c r="B247" s="56">
        <v>53321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30</vt:i4>
      </vt:variant>
    </vt:vector>
  </HeadingPairs>
  <TitlesOfParts>
    <vt:vector size="33" baseType="lpstr">
      <vt:lpstr>Racco D2</vt:lpstr>
      <vt:lpstr>Calcul</vt:lpstr>
      <vt:lpstr>Paramètres</vt:lpstr>
      <vt:lpstr>aide</vt:lpstr>
      <vt:lpstr>arbre</vt:lpstr>
      <vt:lpstr>bloc</vt:lpstr>
      <vt:lpstr>btnAujourdhui</vt:lpstr>
      <vt:lpstr>btnVue</vt:lpstr>
      <vt:lpstr>codeAPE</vt:lpstr>
      <vt:lpstr>codeDZI</vt:lpstr>
      <vt:lpstr>codeLVE</vt:lpstr>
      <vt:lpstr>codeRTY</vt:lpstr>
      <vt:lpstr>comlab</vt:lpstr>
      <vt:lpstr>cour</vt:lpstr>
      <vt:lpstr>cp_APE</vt:lpstr>
      <vt:lpstr>cp_Comlab</vt:lpstr>
      <vt:lpstr>cp_D30</vt:lpstr>
      <vt:lpstr>cp_D65</vt:lpstr>
      <vt:lpstr>cp_DZI</vt:lpstr>
      <vt:lpstr>cp_I30</vt:lpstr>
      <vt:lpstr>cp_I65</vt:lpstr>
      <vt:lpstr>cp_LVE</vt:lpstr>
      <vt:lpstr>cp_RTY</vt:lpstr>
      <vt:lpstr>date30</vt:lpstr>
      <vt:lpstr>date65</vt:lpstr>
      <vt:lpstr>dateDepart</vt:lpstr>
      <vt:lpstr>etapeChoisie</vt:lpstr>
      <vt:lpstr>frise</vt:lpstr>
      <vt:lpstr>noeuds</vt:lpstr>
      <vt:lpstr>sel</vt:lpstr>
      <vt:lpstr>selMemo</vt:lpstr>
      <vt:lpstr>taches</vt:lpstr>
      <vt:lpstr>vue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Racco D2</dc:title>
  <dc:creator/>
  <dc:description>Suivi d'un dossier de raccordement D2</dc:description>
  <cp:lastModifiedBy/>
  <dcterms:created xsi:type="dcterms:W3CDTF">2026-10-08T10:26:45Z</dcterms:created>
  <dcterms:modified xsi:type="dcterms:W3CDTF">2026-10-08T10:26:45Z</dcterms:modified>
</cp:coreProperties>
</file>