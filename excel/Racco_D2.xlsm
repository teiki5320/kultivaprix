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acco D2" sheetId="1" r:id="rId1"/>
    <sheet name="Calcul" sheetId="2" state="hidden" r:id="rId2"/>
    <sheet name="Paramètres" sheetId="3" state="hidden" r:id="rId3"/>
    <sheet name="Rendu" sheetId="4" state="hidden" r:id="rId4"/>
  </sheets>
  <definedNames>
    <definedName name="codeAPE">'Calcul'!$B$329:$B$329</definedName>
    <definedName name="codeDZI">'Calcul'!$B$637:$B$637</definedName>
    <definedName name="codeLVE">'Calcul'!$B$943:$B$943</definedName>
    <definedName name="codeRTY">'Calcul'!$B$790:$B$790</definedName>
    <definedName name="comlab">'Calcul'!$B$82:$B$82</definedName>
    <definedName name="coulCarte">Rendu!$AV$4</definedName>
    <definedName name="coulSaisie">Rendu!$AV$5</definedName>
    <definedName name="cour">'Calcul'!$B$51:$B$51</definedName>
    <definedName name="date30">'Calcul'!$C$945:$C$945</definedName>
    <definedName name="date65">'Calcul'!$C$946:$C$946</definedName>
    <definedName name="etapeChoisie">'Calcul'!$B$55:$B$55</definedName>
    <definedName name="f_adr">'Racco D2'!$BN$18:$CN$20</definedName>
    <definedName name="f_ant">'Racco D2'!$BN$13:$BZ$15</definedName>
    <definedName name="f_cab">'Racco D2'!$CP$18:$DB$20</definedName>
    <definedName name="f_dep">'Racco D2'!$BN$73:$CE$79</definedName>
    <definedName name="f_dlpi">'Racco D2'!$DD$18:$DP$20</definedName>
    <definedName name="f_el">'Racco D2'!$CP$13:$DB$15</definedName>
    <definedName name="f_imb1">'Racco D2'!$BN$23:$BZ$25</definedName>
    <definedName name="f_imb2">'Racco D2'!$CB$23:$CN$25</definedName>
    <definedName name="f_imb3">'Racco D2'!$CP$23:$DB$25</definedName>
    <definedName name="f_imb4">'Racco D2'!$DD$23:$DP$25</definedName>
    <definedName name="f_pc">'Racco D2'!$DD$13:$DP$15</definedName>
    <definedName name="f_racco">'Racco D2'!$CB$13:$CN$15</definedName>
    <definedName name="noeuds">'Calcul'!$A$2:$N$39</definedName>
    <definedName name="pageH">Rendu!$AV$3</definedName>
    <definedName name="pageL">Rendu!$AV$2</definedName>
    <definedName name="sel">'Calcul'!$B$52:$B$52</definedName>
    <definedName name="selMemo">'Calcul'!$B$54:$B$54</definedName>
    <definedName name="styles">Rendu!$AH$2:$AR$56</definedName>
    <definedName name="taches">'Calcul'!$A$43:$R$49</definedName>
    <definedName name="ui">Rendu!$A$2:$AE$297</definedName>
    <definedName name="v_adr">'Racco D2'!$BN$18</definedName>
    <definedName name="v_ant">'Racco D2'!$BN$13</definedName>
    <definedName name="v_cab">'Racco D2'!$CP$18</definedName>
    <definedName name="v_dep">'Racco D2'!$BN$73</definedName>
    <definedName name="v_dlpi">'Racco D2'!$DD$18</definedName>
    <definedName name="v_el">'Racco D2'!$CP$13</definedName>
    <definedName name="v_imb1">'Racco D2'!$BN$23</definedName>
    <definedName name="v_imb2">'Racco D2'!$CB$23</definedName>
    <definedName name="v_imb3">'Racco D2'!$CP$23</definedName>
    <definedName name="v_imb4">'Racco D2'!$DD$23</definedName>
    <definedName name="v_pc">'Racco D2'!$DD$13</definedName>
    <definedName name="v_racco">'Racco D2'!$CB$13</definedName>
    <definedName name="vue">'Calcul'!$B$53:$B$53</definedName>
  </definedNames>
  <calcPr calcId="124519" fullCalcOnLoad="1"/>
</workbook>
</file>

<file path=xl/sharedStrings.xml><?xml version="1.0" encoding="utf-8"?>
<sst xmlns="http://schemas.openxmlformats.org/spreadsheetml/2006/main" count="2386" uniqueCount="705">
  <si>
    <t>Paramètres</t>
  </si>
  <si>
    <t>Délai date 1 (jours)</t>
  </si>
  <si>
    <t>Délai date 2 (jours)</t>
  </si>
  <si>
    <t>Jours fériés (France)</t>
  </si>
  <si>
    <t>Alphabet base 32 des codes</t>
  </si>
  <si>
    <t>0123456789ABCDEFGHJKMNPQRSTVWXYZ</t>
  </si>
  <si>
    <t>id</t>
  </si>
  <si>
    <t>libellé</t>
  </si>
  <si>
    <t>niveau</t>
  </si>
  <si>
    <t>coché</t>
  </si>
  <si>
    <t>effectif</t>
  </si>
  <si>
    <t>valide</t>
  </si>
  <si>
    <t>fermé</t>
  </si>
  <si>
    <t>parent</t>
  </si>
  <si>
    <t>mode</t>
  </si>
  <si>
    <t>index</t>
  </si>
  <si>
    <t>ligne</t>
  </si>
  <si>
    <t>verrou</t>
  </si>
  <si>
    <t>tag</t>
  </si>
  <si>
    <t>court</t>
  </si>
  <si>
    <t>t1</t>
  </si>
  <si>
    <t>Réception dossier</t>
  </si>
  <si>
    <t>tout</t>
  </si>
  <si>
    <t>t1a</t>
  </si>
  <si>
    <t>Demande de raccordement reçue</t>
  </si>
  <si>
    <t>t1b</t>
  </si>
  <si>
    <t>Plans de l'immeuble reçus</t>
  </si>
  <si>
    <t>t1c</t>
  </si>
  <si>
    <t>Permis de construire joint</t>
  </si>
  <si>
    <t>t1d</t>
  </si>
  <si>
    <t>Coordonnées du cabinet conseil</t>
  </si>
  <si>
    <t>t2</t>
  </si>
  <si>
    <t>Conformité</t>
  </si>
  <si>
    <t>un</t>
  </si>
  <si>
    <t>t2a</t>
  </si>
  <si>
    <t>2a  Conforme</t>
  </si>
  <si>
    <t>Conforme</t>
  </si>
  <si>
    <t>t2a1</t>
  </si>
  <si>
    <t>Plans vérifiés</t>
  </si>
  <si>
    <t>t2a2</t>
  </si>
  <si>
    <t>Nombre d'EL cohérent avec les plans</t>
  </si>
  <si>
    <t>t2a3</t>
  </si>
  <si>
    <t>Adresse et IMB contrôlés</t>
  </si>
  <si>
    <t>t2b</t>
  </si>
  <si>
    <t>2b  Non conforme</t>
  </si>
  <si>
    <t>Non conforme</t>
  </si>
  <si>
    <t>t2b1</t>
  </si>
  <si>
    <t>Anomalies notifiées au cabinet conseil</t>
  </si>
  <si>
    <t>t2b2</t>
  </si>
  <si>
    <t>Compléments demandés</t>
  </si>
  <si>
    <t>t3</t>
  </si>
  <si>
    <t>Étude technique</t>
  </si>
  <si>
    <t>t3a</t>
  </si>
  <si>
    <t>Point de branchement (PBO) identifié</t>
  </si>
  <si>
    <t>t3b</t>
  </si>
  <si>
    <t>Cheminement du câble validé</t>
  </si>
  <si>
    <t>t3c</t>
  </si>
  <si>
    <t>Devis de raccordement envoyé</t>
  </si>
  <si>
    <t>t3d</t>
  </si>
  <si>
    <t>Commande reçue</t>
  </si>
  <si>
    <t>t4</t>
  </si>
  <si>
    <t>Planification</t>
  </si>
  <si>
    <t>t4a</t>
  </si>
  <si>
    <t>Date d'intervention fixée</t>
  </si>
  <si>
    <t>t4b</t>
  </si>
  <si>
    <t>Technicien affecté</t>
  </si>
  <si>
    <t>t4c</t>
  </si>
  <si>
    <t>Syndic ou gestionnaire prévenu</t>
  </si>
  <si>
    <t>t5</t>
  </si>
  <si>
    <t>Travaux</t>
  </si>
  <si>
    <t>t5a</t>
  </si>
  <si>
    <t>Câblage de la colonne montante</t>
  </si>
  <si>
    <t>t5b</t>
  </si>
  <si>
    <t>Pose des prises (PTO) dans les logements</t>
  </si>
  <si>
    <t>t5c</t>
  </si>
  <si>
    <t>Raccordement au point de branchement</t>
  </si>
  <si>
    <t>t5d</t>
  </si>
  <si>
    <t>Photos d'intervention reçues</t>
  </si>
  <si>
    <t>t6</t>
  </si>
  <si>
    <t>Recette</t>
  </si>
  <si>
    <t>t6a</t>
  </si>
  <si>
    <t>6a  Recette conforme</t>
  </si>
  <si>
    <t>Recette conforme</t>
  </si>
  <si>
    <t>t6a1</t>
  </si>
  <si>
    <t>Mesures optiques dans les tolérances</t>
  </si>
  <si>
    <t>t6a2</t>
  </si>
  <si>
    <t>PV de recette signé</t>
  </si>
  <si>
    <t>t6b</t>
  </si>
  <si>
    <t>6b  Recette avec réserves</t>
  </si>
  <si>
    <t>Réserves</t>
  </si>
  <si>
    <t>t6b1</t>
  </si>
  <si>
    <t>Réserves notifiées au sous-traitant</t>
  </si>
  <si>
    <t>t6b2</t>
  </si>
  <si>
    <t>Reprise planifiée</t>
  </si>
  <si>
    <t>t7</t>
  </si>
  <si>
    <t>Mise en service</t>
  </si>
  <si>
    <t>t7a</t>
  </si>
  <si>
    <t>Dossier de récolement transmis</t>
  </si>
  <si>
    <t>t7b</t>
  </si>
  <si>
    <t>IMB passés actifs dans le SI</t>
  </si>
  <si>
    <t>t7c</t>
  </si>
  <si>
    <t>Dossier clôturé</t>
  </si>
  <si>
    <t>n°</t>
  </si>
  <si>
    <t>branche A</t>
  </si>
  <si>
    <t>branche B</t>
  </si>
  <si>
    <t>en A</t>
  </si>
  <si>
    <t>en B</t>
  </si>
  <si>
    <t>ko</t>
  </si>
  <si>
    <t>acquise</t>
  </si>
  <si>
    <t>texte</t>
  </si>
  <si>
    <t>statut</t>
  </si>
  <si>
    <t>décision</t>
  </si>
  <si>
    <t>action</t>
  </si>
  <si>
    <t>responsable</t>
  </si>
  <si>
    <t>lettre</t>
  </si>
  <si>
    <t>en cours</t>
  </si>
  <si>
    <t>affichée</t>
  </si>
  <si>
    <t>vue</t>
  </si>
  <si>
    <t>Situation</t>
  </si>
  <si>
    <t>étape mémorisée</t>
  </si>
  <si>
    <t>étape choisie</t>
  </si>
  <si>
    <t>Code Comlab</t>
  </si>
  <si>
    <t>corps</t>
  </si>
  <si>
    <t>pas</t>
  </si>
  <si>
    <t>car.</t>
  </si>
  <si>
    <t>empreinte</t>
  </si>
  <si>
    <t>Comlab</t>
  </si>
  <si>
    <t>APE</t>
  </si>
  <si>
    <t>tour 1</t>
  </si>
  <si>
    <t>tour 2</t>
  </si>
  <si>
    <t>tour 3</t>
  </si>
  <si>
    <t>tour 4</t>
  </si>
  <si>
    <t>tour 5</t>
  </si>
  <si>
    <t>tour 6</t>
  </si>
  <si>
    <t>tour 7</t>
  </si>
  <si>
    <t>tour 8</t>
  </si>
  <si>
    <t>code</t>
  </si>
  <si>
    <t>DZI</t>
  </si>
  <si>
    <t>tour 9</t>
  </si>
  <si>
    <t>tour 10</t>
  </si>
  <si>
    <t>RTY</t>
  </si>
  <si>
    <t>LVE</t>
  </si>
  <si>
    <t>date 1</t>
  </si>
  <si>
    <t>date 2</t>
  </si>
  <si>
    <t>type</t>
  </si>
  <si>
    <t>h</t>
  </si>
  <si>
    <t>vis</t>
  </si>
  <si>
    <t>eff</t>
  </si>
  <si>
    <t>top</t>
  </si>
  <si>
    <t>pad</t>
  </si>
  <si>
    <t>d1</t>
  </si>
  <si>
    <t>kid</t>
  </si>
  <si>
    <t>padb</t>
  </si>
  <si>
    <t>gap</t>
  </si>
  <si>
    <t>ou</t>
  </si>
  <si>
    <t>nom</t>
  </si>
  <si>
    <t>x</t>
  </si>
  <si>
    <t>y</t>
  </si>
  <si>
    <t>w</t>
  </si>
  <si>
    <t>rayon</t>
  </si>
  <si>
    <t>police</t>
  </si>
  <si>
    <t>taille</t>
  </si>
  <si>
    <t>gras</t>
  </si>
  <si>
    <t>align</t>
  </si>
  <si>
    <t>vancre</t>
  </si>
  <si>
    <t>marges</t>
  </si>
  <si>
    <t>retour</t>
  </si>
  <si>
    <t>espace</t>
  </si>
  <si>
    <t>riche</t>
  </si>
  <si>
    <t>style</t>
  </si>
  <si>
    <t>ancre</t>
  </si>
  <si>
    <t>auto</t>
  </si>
  <si>
    <t>b_texte</t>
  </si>
  <si>
    <t>b_style</t>
  </si>
  <si>
    <t>b_vis</t>
  </si>
  <si>
    <t>b_y</t>
  </si>
  <si>
    <t>b_h</t>
  </si>
  <si>
    <t>a_texte</t>
  </si>
  <si>
    <t>a_style</t>
  </si>
  <si>
    <t>a_vis</t>
  </si>
  <si>
    <t>a_y</t>
  </si>
  <si>
    <t>a_h</t>
  </si>
  <si>
    <t>entete</t>
  </si>
  <si>
    <t>rond</t>
  </si>
  <si>
    <t>Avenir Next</t>
  </si>
  <si>
    <t>G</t>
  </si>
  <si>
    <t>22,0,0,0</t>
  </si>
  <si>
    <t>Racco D2</t>
  </si>
  <si>
    <t>c_taches</t>
  </si>
  <si>
    <t>carte</t>
  </si>
  <si>
    <t>ti_taches</t>
  </si>
  <si>
    <t>M</t>
  </si>
  <si>
    <t>0,0,0,0</t>
  </si>
  <si>
    <t>TÂCHES</t>
  </si>
  <si>
    <t>titre</t>
  </si>
  <si>
    <t>compteur</t>
  </si>
  <si>
    <t>C</t>
  </si>
  <si>
    <t>8,1,8,1</t>
  </si>
  <si>
    <t>tag_none</t>
  </si>
  <si>
    <t>g_1</t>
  </si>
  <si>
    <t>grp</t>
  </si>
  <si>
    <t>gl_1</t>
  </si>
  <si>
    <t>tirets</t>
  </si>
  <si>
    <t>t1_chev</t>
  </si>
  <si>
    <t>▾</t>
  </si>
  <si>
    <t>chev</t>
  </si>
  <si>
    <t>plier:t1</t>
  </si>
  <si>
    <t>t1_cb</t>
  </si>
  <si>
    <t>cb_off</t>
  </si>
  <si>
    <t>cocher:t1</t>
  </si>
  <si>
    <t>t1_num</t>
  </si>
  <si>
    <t>Menlo</t>
  </si>
  <si>
    <t>D</t>
  </si>
  <si>
    <t>1</t>
  </si>
  <si>
    <t>num</t>
  </si>
  <si>
    <t>etape:1</t>
  </si>
  <si>
    <t>t1_lib</t>
  </si>
  <si>
    <t>lib</t>
  </si>
  <si>
    <t>t1_led</t>
  </si>
  <si>
    <t>ovale</t>
  </si>
  <si>
    <t>led_off</t>
  </si>
  <si>
    <t>t1a_cb</t>
  </si>
  <si>
    <t>cocher:t1a</t>
  </si>
  <si>
    <t>t1a_lib</t>
  </si>
  <si>
    <t>t1b_cb</t>
  </si>
  <si>
    <t>cocher:t1b</t>
  </si>
  <si>
    <t>t1b_lib</t>
  </si>
  <si>
    <t>t1c_cb</t>
  </si>
  <si>
    <t>cocher:t1c</t>
  </si>
  <si>
    <t>t1c_lib</t>
  </si>
  <si>
    <t>t1d_cb</t>
  </si>
  <si>
    <t>cocher:t1d</t>
  </si>
  <si>
    <t>t1d_lib</t>
  </si>
  <si>
    <t>g_2</t>
  </si>
  <si>
    <t>gl_2</t>
  </si>
  <si>
    <t>t2_chev</t>
  </si>
  <si>
    <t>plier:t2</t>
  </si>
  <si>
    <t>t2_cb</t>
  </si>
  <si>
    <t>cocher:t2</t>
  </si>
  <si>
    <t>t2_num</t>
  </si>
  <si>
    <t>2</t>
  </si>
  <si>
    <t>etape:2</t>
  </si>
  <si>
    <t>t2_lib</t>
  </si>
  <si>
    <t>t2_led</t>
  </si>
  <si>
    <t>t2a_cb</t>
  </si>
  <si>
    <t>cocher:t2a</t>
  </si>
  <si>
    <t>t2a_lib</t>
  </si>
  <si>
    <t>t2a1_cb</t>
  </si>
  <si>
    <t>cocher:t2a1</t>
  </si>
  <si>
    <t>t2a1_lib</t>
  </si>
  <si>
    <t>t2a2_cb</t>
  </si>
  <si>
    <t>cocher:t2a2</t>
  </si>
  <si>
    <t>t2a2_lib</t>
  </si>
  <si>
    <t>t2a3_cb</t>
  </si>
  <si>
    <t>cocher:t2a3</t>
  </si>
  <si>
    <t>t2a3_lib</t>
  </si>
  <si>
    <t>ou_t2b</t>
  </si>
  <si>
    <t>OU</t>
  </si>
  <si>
    <t>t2b_cb</t>
  </si>
  <si>
    <t>cocher:t2b</t>
  </si>
  <si>
    <t>t2b_lib</t>
  </si>
  <si>
    <t>t2b1_cb</t>
  </si>
  <si>
    <t>cocher:t2b1</t>
  </si>
  <si>
    <t>t2b1_lib</t>
  </si>
  <si>
    <t>t2b2_cb</t>
  </si>
  <si>
    <t>cocher:t2b2</t>
  </si>
  <si>
    <t>t2b2_lib</t>
  </si>
  <si>
    <t>g_3</t>
  </si>
  <si>
    <t>gl_3</t>
  </si>
  <si>
    <t>t3_chev</t>
  </si>
  <si>
    <t>plier:t3</t>
  </si>
  <si>
    <t>t3_cb</t>
  </si>
  <si>
    <t>cocher:t3</t>
  </si>
  <si>
    <t>t3_num</t>
  </si>
  <si>
    <t>3</t>
  </si>
  <si>
    <t>etape:3</t>
  </si>
  <si>
    <t>t3_lib</t>
  </si>
  <si>
    <t>t3_led</t>
  </si>
  <si>
    <t>t3a_cb</t>
  </si>
  <si>
    <t>cocher:t3a</t>
  </si>
  <si>
    <t>t3a_lib</t>
  </si>
  <si>
    <t>t3b_cb</t>
  </si>
  <si>
    <t>cocher:t3b</t>
  </si>
  <si>
    <t>t3b_lib</t>
  </si>
  <si>
    <t>t3c_cb</t>
  </si>
  <si>
    <t>cocher:t3c</t>
  </si>
  <si>
    <t>t3c_lib</t>
  </si>
  <si>
    <t>t3d_cb</t>
  </si>
  <si>
    <t>cocher:t3d</t>
  </si>
  <si>
    <t>t3d_lib</t>
  </si>
  <si>
    <t>g_4</t>
  </si>
  <si>
    <t>gl_4</t>
  </si>
  <si>
    <t>t4_chev</t>
  </si>
  <si>
    <t>plier:t4</t>
  </si>
  <si>
    <t>t4_cb</t>
  </si>
  <si>
    <t>cocher:t4</t>
  </si>
  <si>
    <t>t4_num</t>
  </si>
  <si>
    <t>4</t>
  </si>
  <si>
    <t>etape:4</t>
  </si>
  <si>
    <t>t4_lib</t>
  </si>
  <si>
    <t>t4_led</t>
  </si>
  <si>
    <t>t4a_cb</t>
  </si>
  <si>
    <t>cocher:t4a</t>
  </si>
  <si>
    <t>t4a_lib</t>
  </si>
  <si>
    <t>t4b_cb</t>
  </si>
  <si>
    <t>cocher:t4b</t>
  </si>
  <si>
    <t>t4b_lib</t>
  </si>
  <si>
    <t>t4c_cb</t>
  </si>
  <si>
    <t>cocher:t4c</t>
  </si>
  <si>
    <t>t4c_lib</t>
  </si>
  <si>
    <t>g_5</t>
  </si>
  <si>
    <t>gl_5</t>
  </si>
  <si>
    <t>t5_chev</t>
  </si>
  <si>
    <t>plier:t5</t>
  </si>
  <si>
    <t>t5_cb</t>
  </si>
  <si>
    <t>cocher:t5</t>
  </si>
  <si>
    <t>t5_num</t>
  </si>
  <si>
    <t>5</t>
  </si>
  <si>
    <t>etape:5</t>
  </si>
  <si>
    <t>t5_lib</t>
  </si>
  <si>
    <t>t5_led</t>
  </si>
  <si>
    <t>t5a_cb</t>
  </si>
  <si>
    <t>cocher:t5a</t>
  </si>
  <si>
    <t>t5a_lib</t>
  </si>
  <si>
    <t>t5b_cb</t>
  </si>
  <si>
    <t>cocher:t5b</t>
  </si>
  <si>
    <t>t5b_lib</t>
  </si>
  <si>
    <t>t5c_cb</t>
  </si>
  <si>
    <t>cocher:t5c</t>
  </si>
  <si>
    <t>t5c_lib</t>
  </si>
  <si>
    <t>t5d_cb</t>
  </si>
  <si>
    <t>cocher:t5d</t>
  </si>
  <si>
    <t>t5d_lib</t>
  </si>
  <si>
    <t>g_6</t>
  </si>
  <si>
    <t>gl_6</t>
  </si>
  <si>
    <t>t6_chev</t>
  </si>
  <si>
    <t>plier:t6</t>
  </si>
  <si>
    <t>t6_cb</t>
  </si>
  <si>
    <t>cocher:t6</t>
  </si>
  <si>
    <t>t6_num</t>
  </si>
  <si>
    <t>6</t>
  </si>
  <si>
    <t>etape:6</t>
  </si>
  <si>
    <t>t6_lib</t>
  </si>
  <si>
    <t>t6_led</t>
  </si>
  <si>
    <t>t6a_cb</t>
  </si>
  <si>
    <t>cocher:t6a</t>
  </si>
  <si>
    <t>t6a_lib</t>
  </si>
  <si>
    <t>t6a1_cb</t>
  </si>
  <si>
    <t>cocher:t6a1</t>
  </si>
  <si>
    <t>t6a1_lib</t>
  </si>
  <si>
    <t>t6a2_cb</t>
  </si>
  <si>
    <t>cocher:t6a2</t>
  </si>
  <si>
    <t>t6a2_lib</t>
  </si>
  <si>
    <t>ou_t6b</t>
  </si>
  <si>
    <t>t6b_cb</t>
  </si>
  <si>
    <t>cocher:t6b</t>
  </si>
  <si>
    <t>t6b_lib</t>
  </si>
  <si>
    <t>t6b1_cb</t>
  </si>
  <si>
    <t>cocher:t6b1</t>
  </si>
  <si>
    <t>t6b1_lib</t>
  </si>
  <si>
    <t>t6b2_cb</t>
  </si>
  <si>
    <t>cocher:t6b2</t>
  </si>
  <si>
    <t>t6b2_lib</t>
  </si>
  <si>
    <t>g_7</t>
  </si>
  <si>
    <t>gl_7</t>
  </si>
  <si>
    <t>t7_chev</t>
  </si>
  <si>
    <t>plier:t7</t>
  </si>
  <si>
    <t>t7_cb</t>
  </si>
  <si>
    <t>cocher:t7</t>
  </si>
  <si>
    <t>t7_num</t>
  </si>
  <si>
    <t>7</t>
  </si>
  <si>
    <t>etape:7</t>
  </si>
  <si>
    <t>t7_lib</t>
  </si>
  <si>
    <t>t7_led</t>
  </si>
  <si>
    <t>t7a_cb</t>
  </si>
  <si>
    <t>cocher:t7a</t>
  </si>
  <si>
    <t>t7a_lib</t>
  </si>
  <si>
    <t>t7b_cb</t>
  </si>
  <si>
    <t>cocher:t7b</t>
  </si>
  <si>
    <t>t7b_lib</t>
  </si>
  <si>
    <t>t7c_cb</t>
  </si>
  <si>
    <t>cocher:t7c</t>
  </si>
  <si>
    <t>t7c_lib</t>
  </si>
  <si>
    <t>dos_p0</t>
  </si>
  <si>
    <t>bas</t>
  </si>
  <si>
    <t>carte_bas</t>
  </si>
  <si>
    <t>dos_p1</t>
  </si>
  <si>
    <t>haut</t>
  </si>
  <si>
    <t>carte_plat</t>
  </si>
  <si>
    <t>dos_p2</t>
  </si>
  <si>
    <t>rect</t>
  </si>
  <si>
    <t>dos_p3</t>
  </si>
  <si>
    <t>dos_p4</t>
  </si>
  <si>
    <t>dos_p5</t>
  </si>
  <si>
    <t>dos_p6</t>
  </si>
  <si>
    <t>dos_p7</t>
  </si>
  <si>
    <t>dos_p8</t>
  </si>
  <si>
    <t>dos_p9</t>
  </si>
  <si>
    <t>dos_p10</t>
  </si>
  <si>
    <t>dos_p11</t>
  </si>
  <si>
    <t>dos_p12</t>
  </si>
  <si>
    <t>dos_p13</t>
  </si>
  <si>
    <t>dos_p14</t>
  </si>
  <si>
    <t>dos_p15</t>
  </si>
  <si>
    <t>dos_p16</t>
  </si>
  <si>
    <t>dos_p17</t>
  </si>
  <si>
    <t>dos_p18</t>
  </si>
  <si>
    <t>dos_p19</t>
  </si>
  <si>
    <t>dos_p20</t>
  </si>
  <si>
    <t>dos_p21</t>
  </si>
  <si>
    <t>dos_p22</t>
  </si>
  <si>
    <t>dos_p23</t>
  </si>
  <si>
    <t>dos_p24</t>
  </si>
  <si>
    <t>dos_p25</t>
  </si>
  <si>
    <t>dos_p26</t>
  </si>
  <si>
    <t>dos_p27</t>
  </si>
  <si>
    <t>dos_p28</t>
  </si>
  <si>
    <t>dos_p29</t>
  </si>
  <si>
    <t>dos_p30</t>
  </si>
  <si>
    <t>dos_p31</t>
  </si>
  <si>
    <t>dos_p32</t>
  </si>
  <si>
    <t>dos_p33</t>
  </si>
  <si>
    <t>dos_p34</t>
  </si>
  <si>
    <t>dos_p35</t>
  </si>
  <si>
    <t>dos_p36</t>
  </si>
  <si>
    <t>dos_p37</t>
  </si>
  <si>
    <t>dos_p38</t>
  </si>
  <si>
    <t>dos_p39</t>
  </si>
  <si>
    <t>dos_p40</t>
  </si>
  <si>
    <t>dos_p41</t>
  </si>
  <si>
    <t>dos_p42</t>
  </si>
  <si>
    <t>dos_p43</t>
  </si>
  <si>
    <t>dos_p44</t>
  </si>
  <si>
    <t>dos_p45</t>
  </si>
  <si>
    <t>ti_dossier</t>
  </si>
  <si>
    <t>DOSSIER</t>
  </si>
  <si>
    <t>lab_ant</t>
  </si>
  <si>
    <t>N° POI anticipation</t>
  </si>
  <si>
    <t>k</t>
  </si>
  <si>
    <t>champ_ant</t>
  </si>
  <si>
    <t>10,0,8,0</t>
  </si>
  <si>
    <t>champ_vide</t>
  </si>
  <si>
    <t>champ:ant</t>
  </si>
  <si>
    <t>lab_racco</t>
  </si>
  <si>
    <t>N° POI Racco D2</t>
  </si>
  <si>
    <t>champ_racco</t>
  </si>
  <si>
    <t>champ:racco</t>
  </si>
  <si>
    <t>lab_el</t>
  </si>
  <si>
    <t>Nombre d'EL</t>
  </si>
  <si>
    <t>champ_el</t>
  </si>
  <si>
    <t>champ:el</t>
  </si>
  <si>
    <t>lab_pc</t>
  </si>
  <si>
    <t>Permis de construire</t>
  </si>
  <si>
    <t>champ_pc</t>
  </si>
  <si>
    <t>champ:pc</t>
  </si>
  <si>
    <t>lab_adr</t>
  </si>
  <si>
    <t>Adresse</t>
  </si>
  <si>
    <t>champ_adr</t>
  </si>
  <si>
    <t>champ:adr</t>
  </si>
  <si>
    <t>lab_cab</t>
  </si>
  <si>
    <t>Cabinet conseil</t>
  </si>
  <si>
    <t>champ_cab</t>
  </si>
  <si>
    <t>champ:cab</t>
  </si>
  <si>
    <t>lab_dlpi</t>
  </si>
  <si>
    <t>DLPI</t>
  </si>
  <si>
    <t>champ_dlpi</t>
  </si>
  <si>
    <t>champ:dlpi</t>
  </si>
  <si>
    <t>lab_imb1</t>
  </si>
  <si>
    <t>IMB</t>
  </si>
  <si>
    <t>champ_imb1</t>
  </si>
  <si>
    <t>champ:imb1</t>
  </si>
  <si>
    <t>champ_imb2</t>
  </si>
  <si>
    <t>champ:imb2</t>
  </si>
  <si>
    <t>champ_imb3</t>
  </si>
  <si>
    <t>champ:imb3</t>
  </si>
  <si>
    <t>champ_imb4</t>
  </si>
  <si>
    <t>champ:imb4</t>
  </si>
  <si>
    <t>c_situ</t>
  </si>
  <si>
    <t>ti_situ</t>
  </si>
  <si>
    <t>SITUATION</t>
  </si>
  <si>
    <t>btn_vue</t>
  </si>
  <si>
    <t>Info</t>
  </si>
  <si>
    <t>btn</t>
  </si>
  <si>
    <t>etat</t>
  </si>
  <si>
    <t>tag_run</t>
  </si>
  <si>
    <t>frise_1</t>
  </si>
  <si>
    <t>2,3,2,3</t>
  </si>
  <si>
    <t>1
Réception dossier</t>
  </si>
  <si>
    <t>15:1|7.5:1</t>
  </si>
  <si>
    <t>frise_none</t>
  </si>
  <si>
    <t>frise_2</t>
  </si>
  <si>
    <t>2
Conformité</t>
  </si>
  <si>
    <t>frise_3</t>
  </si>
  <si>
    <t>3
Étude technique</t>
  </si>
  <si>
    <t>frise_4</t>
  </si>
  <si>
    <t>4
Planification</t>
  </si>
  <si>
    <t>frise_5</t>
  </si>
  <si>
    <t>5
Travaux</t>
  </si>
  <si>
    <t>frise_6</t>
  </si>
  <si>
    <t>6
Recette</t>
  </si>
  <si>
    <t>frise_7</t>
  </si>
  <si>
    <t>7
Mise en service</t>
  </si>
  <si>
    <t>situ_titre</t>
  </si>
  <si>
    <t>v</t>
  </si>
  <si>
    <t>situ_tag</t>
  </si>
  <si>
    <t>situ_box</t>
  </si>
  <si>
    <t>inset</t>
  </si>
  <si>
    <t>situ_k0</t>
  </si>
  <si>
    <t>Statut</t>
  </si>
  <si>
    <t>situ_v0</t>
  </si>
  <si>
    <t>situ_l0</t>
  </si>
  <si>
    <t>situ_k1</t>
  </si>
  <si>
    <t>Décision</t>
  </si>
  <si>
    <t>situ_v1</t>
  </si>
  <si>
    <t>situ_l1</t>
  </si>
  <si>
    <t>situ_k2</t>
  </si>
  <si>
    <t>Action suivante</t>
  </si>
  <si>
    <t>situ_v2</t>
  </si>
  <si>
    <t>H</t>
  </si>
  <si>
    <t>situ_l2</t>
  </si>
  <si>
    <t>situ_k3</t>
  </si>
  <si>
    <t>Responsable</t>
  </si>
  <si>
    <t>situ_v3</t>
  </si>
  <si>
    <t>situ_l3</t>
  </si>
  <si>
    <t>situ_k4</t>
  </si>
  <si>
    <t>Délai</t>
  </si>
  <si>
    <t>situ_v4</t>
  </si>
  <si>
    <t>situ_note</t>
  </si>
  <si>
    <t>s_i30</t>
  </si>
  <si>
    <t>s_i30_lab</t>
  </si>
  <si>
    <t>+ 30 JOURS</t>
  </si>
  <si>
    <t>ico_i30_bg</t>
  </si>
  <si>
    <t>ico</t>
  </si>
  <si>
    <t>copier:i30</t>
  </si>
  <si>
    <t>ico_i30_b</t>
  </si>
  <si>
    <t>ico_back</t>
  </si>
  <si>
    <t>ico_i30_f</t>
  </si>
  <si>
    <t>ico_front</t>
  </si>
  <si>
    <t>ico_i30_ok</t>
  </si>
  <si>
    <t>✓</t>
  </si>
  <si>
    <t>ico_check</t>
  </si>
  <si>
    <t>s_i30_val</t>
  </si>
  <si>
    <t>s_i30_tag</t>
  </si>
  <si>
    <t>7,0,7,0</t>
  </si>
  <si>
    <t>tag_ko</t>
  </si>
  <si>
    <t>s_i65</t>
  </si>
  <si>
    <t>s_i65_lab</t>
  </si>
  <si>
    <t>+ 65 JOURS</t>
  </si>
  <si>
    <t>ico_i65_bg</t>
  </si>
  <si>
    <t>copier:i65</t>
  </si>
  <si>
    <t>ico_i65_b</t>
  </si>
  <si>
    <t>ico_i65_f</t>
  </si>
  <si>
    <t>ico_i65_ok</t>
  </si>
  <si>
    <t>s_i65_val</t>
  </si>
  <si>
    <t>s_i65_tag</t>
  </si>
  <si>
    <t>i_code</t>
  </si>
  <si>
    <t>i_code_lab</t>
  </si>
  <si>
    <t>CODE COMLAB</t>
  </si>
  <si>
    <t>i_code_val</t>
  </si>
  <si>
    <t>ico_comlab_bg</t>
  </si>
  <si>
    <t>copier:comlab</t>
  </si>
  <si>
    <t>ico_comlab_b</t>
  </si>
  <si>
    <t>ico_comlab_f</t>
  </si>
  <si>
    <t>ico_comlab_ok</t>
  </si>
  <si>
    <t>p_ape</t>
  </si>
  <si>
    <t>p_ape_lab</t>
  </si>
  <si>
    <t>p_ape_sep</t>
  </si>
  <si>
    <t>sep</t>
  </si>
  <si>
    <t>p_ape_val</t>
  </si>
  <si>
    <t>ico_ape_bg</t>
  </si>
  <si>
    <t>copier:ape</t>
  </si>
  <si>
    <t>ico_ape_b</t>
  </si>
  <si>
    <t>ico_ape_f</t>
  </si>
  <si>
    <t>ico_ape_ok</t>
  </si>
  <si>
    <t>p_dzi</t>
  </si>
  <si>
    <t>p_dzi_lab</t>
  </si>
  <si>
    <t>p_dzi_sep</t>
  </si>
  <si>
    <t>p_dzi_val</t>
  </si>
  <si>
    <t>ico_dzi_bg</t>
  </si>
  <si>
    <t>copier:dzi</t>
  </si>
  <si>
    <t>ico_dzi_b</t>
  </si>
  <si>
    <t>ico_dzi_f</t>
  </si>
  <si>
    <t>ico_dzi_ok</t>
  </si>
  <si>
    <t>p_rty</t>
  </si>
  <si>
    <t>p_rty_lab</t>
  </si>
  <si>
    <t>p_rty_sep</t>
  </si>
  <si>
    <t>p_rty_val</t>
  </si>
  <si>
    <t>ico_rty_bg</t>
  </si>
  <si>
    <t>copier:rty</t>
  </si>
  <si>
    <t>ico_rty_b</t>
  </si>
  <si>
    <t>ico_rty_f</t>
  </si>
  <si>
    <t>ico_rty_ok</t>
  </si>
  <si>
    <t>p_lve</t>
  </si>
  <si>
    <t>p_lve_lab</t>
  </si>
  <si>
    <t>p_lve_sep</t>
  </si>
  <si>
    <t>p_lve_val</t>
  </si>
  <si>
    <t>ico_lve_bg</t>
  </si>
  <si>
    <t>copier:lve</t>
  </si>
  <si>
    <t>ico_lve_b</t>
  </si>
  <si>
    <t>ico_lve_f</t>
  </si>
  <si>
    <t>ico_lve_ok</t>
  </si>
  <si>
    <t>dat_p0</t>
  </si>
  <si>
    <t>dat_p1</t>
  </si>
  <si>
    <t>dat_p2</t>
  </si>
  <si>
    <t>dat_p3</t>
  </si>
  <si>
    <t>dat_p4</t>
  </si>
  <si>
    <t>dat_p5</t>
  </si>
  <si>
    <t>dat_p6</t>
  </si>
  <si>
    <t>dat_p7</t>
  </si>
  <si>
    <t>ti_dates</t>
  </si>
  <si>
    <t>DATES</t>
  </si>
  <si>
    <t>btn_auj</t>
  </si>
  <si>
    <t>Aujourd'hui</t>
  </si>
  <si>
    <t>auj</t>
  </si>
  <si>
    <t>champ_dep</t>
  </si>
  <si>
    <t>champ:dep</t>
  </si>
  <si>
    <t>dep_expr</t>
  </si>
  <si>
    <t>dep_val</t>
  </si>
  <si>
    <t>s_d30</t>
  </si>
  <si>
    <t>s_d30_lab</t>
  </si>
  <si>
    <t>ico_d30_bg</t>
  </si>
  <si>
    <t>copier:d30</t>
  </si>
  <si>
    <t>ico_d30_b</t>
  </si>
  <si>
    <t>ico_d30_f</t>
  </si>
  <si>
    <t>ico_d30_ok</t>
  </si>
  <si>
    <t>s_d30_val</t>
  </si>
  <si>
    <t>s_d30_tag</t>
  </si>
  <si>
    <t>s_d65</t>
  </si>
  <si>
    <t>s_d65_lab</t>
  </si>
  <si>
    <t>ico_d65_bg</t>
  </si>
  <si>
    <t>copier:d65</t>
  </si>
  <si>
    <t>ico_d65_b</t>
  </si>
  <si>
    <t>ico_d65_f</t>
  </si>
  <si>
    <t>ico_d65_ok</t>
  </si>
  <si>
    <t>s_d65_val</t>
  </si>
  <si>
    <t>s_d65_tag</t>
  </si>
  <si>
    <t>fond</t>
  </si>
  <si>
    <t>fond_t</t>
  </si>
  <si>
    <t>trait</t>
  </si>
  <si>
    <t>ep</t>
  </si>
  <si>
    <t>trait_t</t>
  </si>
  <si>
    <t>encre</t>
  </si>
  <si>
    <t>encre_t</t>
  </si>
  <si>
    <t>ombre</t>
  </si>
  <si>
    <t>halo</t>
  </si>
  <si>
    <t>halo_r</t>
  </si>
  <si>
    <t>#FFFAF4</t>
  </si>
  <si>
    <t>clay</t>
  </si>
  <si>
    <t>carte_corail</t>
  </si>
  <si>
    <t>#F4C6B5</t>
  </si>
  <si>
    <t>#CFE2D8</t>
  </si>
  <si>
    <t>#3F5A4C</t>
  </si>
  <si>
    <t>clay_sm</t>
  </si>
  <si>
    <t>#6D6259</t>
  </si>
  <si>
    <t>titre_info</t>
  </si>
  <si>
    <t>#B5563A</t>
  </si>
  <si>
    <t>#F3E7DB</t>
  </si>
  <si>
    <t>grp_actif</t>
  </si>
  <si>
    <t>#E8907A</t>
  </si>
  <si>
    <t>#4A4238</t>
  </si>
  <si>
    <t>chev_lock</t>
  </si>
  <si>
    <t>cb_on</t>
  </si>
  <si>
    <t>#3D7F55</t>
  </si>
  <si>
    <t>cb_auto</t>
  </si>
  <si>
    <t>#2F6B4A</t>
  </si>
  <si>
    <t>cb_lock</t>
  </si>
  <si>
    <t>num_lock</t>
  </si>
  <si>
    <t>lib_ok</t>
  </si>
  <si>
    <t>lib_lock</t>
  </si>
  <si>
    <t>led_on</t>
  </si>
  <si>
    <t>#36C26A</t>
  </si>
  <si>
    <t>0,0,7,#36C26A,0.35,out</t>
  </si>
  <si>
    <t>#E2493A</t>
  </si>
  <si>
    <t>0,0,7,#E2493A,0.45,out</t>
  </si>
  <si>
    <t>led_off_lock</t>
  </si>
  <si>
    <t>#EBE4DC</t>
  </si>
  <si>
    <t>#7D7670</t>
  </si>
  <si>
    <t>frise_none_sel</t>
  </si>
  <si>
    <t>#F9E9B8</t>
  </si>
  <si>
    <t>#96660F</t>
  </si>
  <si>
    <t>frise_run</t>
  </si>
  <si>
    <t>frise_run_sel</t>
  </si>
  <si>
    <t>tag_ok</t>
  </si>
  <si>
    <t>#D9EAD9</t>
  </si>
  <si>
    <t>frise_ok</t>
  </si>
  <si>
    <t>frise_ok_sel</t>
  </si>
  <si>
    <t>#F6D5C9</t>
  </si>
  <si>
    <t>#C1523F</t>
  </si>
  <si>
    <t>frise_ko</t>
  </si>
  <si>
    <t>frise_ko_sel</t>
  </si>
  <si>
    <t>#E4D9CD</t>
  </si>
  <si>
    <t>#D9CCBE</t>
  </si>
  <si>
    <t>champ</t>
  </si>
  <si>
    <t>val</t>
  </si>
  <si>
    <t>val_vide</t>
  </si>
  <si>
    <t>#33190F</t>
  </si>
  <si>
    <t>ico_dis</t>
  </si>
  <si>
    <t>ico_ok</t>
  </si>
  <si>
    <t>ico_back_dis</t>
  </si>
  <si>
    <t>ico_front_dis</t>
  </si>
  <si>
    <t>réglages</t>
  </si>
  <si>
    <t>largeur</t>
  </si>
  <si>
    <t>hauteur</t>
  </si>
  <si>
    <t>carte (couleur des cellules de saisie)</t>
  </si>
  <si>
    <t>carte2 (pendant la saisie)</t>
  </si>
</sst>
</file>

<file path=xl/styles.xml><?xml version="1.0" encoding="utf-8"?>
<styleSheet xmlns="http://schemas.openxmlformats.org/spreadsheetml/2006/main">
  <numFmts count="1">
    <numFmt numFmtId="164" formatCode="dd/mm/yyyy"/>
  </numFmts>
  <fonts count="9">
    <font>
      <sz val="11"/>
      <color theme="1"/>
      <name val="Calibri"/>
      <family val="2"/>
      <scheme val="minor"/>
    </font>
    <font>
      <sz val="11"/>
      <color rgb="FF4A4238"/>
      <name val="Calibri"/>
      <family val="2"/>
      <scheme val="minor"/>
    </font>
    <font>
      <sz val="12"/>
      <color rgb="FF4A4238"/>
      <name val="Avenir Next"/>
      <family val="2"/>
    </font>
    <font>
      <sz val="11"/>
      <color rgb="FF4A4238"/>
      <name val="Avenir Next"/>
      <family val="2"/>
    </font>
    <font>
      <b/>
      <sz val="18"/>
      <color rgb="FF4A4238"/>
      <name val="Consolas"/>
      <family val="2"/>
    </font>
    <font>
      <b/>
      <sz val="11"/>
      <color rgb="FF4A4238"/>
      <name val="Calibri"/>
      <family val="2"/>
      <scheme val="minor"/>
    </font>
    <font>
      <b/>
      <sz val="13"/>
      <color rgb="FF4A4238"/>
      <name val="Calibri"/>
      <family val="2"/>
      <scheme val="minor"/>
    </font>
    <font>
      <sz val="11"/>
      <color rgb="FF6D6259"/>
      <name val="Calibri"/>
      <family val="2"/>
      <scheme val="minor"/>
    </font>
    <font>
      <sz val="11"/>
      <color rgb="FF4A4238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rgb="FFEFE3D6"/>
        <bgColor indexed="64"/>
      </patternFill>
    </fill>
    <fill>
      <patternFill patternType="solid">
        <fgColor rgb="FFFFFAF4"/>
        <bgColor indexed="64"/>
      </patternFill>
    </fill>
    <fill>
      <patternFill patternType="solid">
        <fgColor rgb="FFF3E7D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horizontal="left" vertical="center" indent="1"/>
    </xf>
    <xf numFmtId="164" fontId="2" fillId="3" borderId="0" xfId="0" applyNumberFormat="1" applyFont="1" applyFill="1" applyAlignment="1">
      <alignment horizontal="left" vertical="center" indent="1"/>
    </xf>
    <xf numFmtId="0" fontId="3" fillId="3" borderId="0" xfId="0" applyFont="1" applyFill="1" applyAlignment="1">
      <alignment horizontal="left" vertical="center" indent="1"/>
    </xf>
    <xf numFmtId="164" fontId="4" fillId="3" borderId="0" xfId="0" applyNumberFormat="1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FE260"/>
  <sheetViews>
    <sheetView showGridLines="0" showRowColHeaders="0" tabSelected="1" workbookViewId="0"/>
  </sheetViews>
  <sheetFormatPr defaultRowHeight="9" customHeight="1"/>
  <cols>
    <col min="1" max="161" width="1.7109375" style="1" customWidth="1"/>
  </cols>
  <sheetData>
    <row r="1" spans="66:120" s="1" customFormat="1" ht="9" customHeight="1"/>
    <row r="2" spans="66:120" s="1" customFormat="1" ht="9" customHeight="1"/>
    <row r="3" spans="66:120" s="1" customFormat="1" ht="9" customHeight="1"/>
    <row r="4" spans="66:120" s="1" customFormat="1" ht="9" customHeight="1"/>
    <row r="5" spans="66:120" s="1" customFormat="1" ht="9" customHeight="1"/>
    <row r="6" spans="66:120" s="1" customFormat="1" ht="9" customHeight="1"/>
    <row r="7" spans="66:120" s="1" customFormat="1" ht="9" customHeight="1"/>
    <row r="8" spans="66:120" s="1" customFormat="1" ht="9" customHeight="1"/>
    <row r="9" spans="66:120" s="1" customFormat="1" ht="9" customHeight="1"/>
    <row r="10" spans="66:120" s="1" customFormat="1" ht="9" customHeight="1"/>
    <row r="11" spans="66:120" s="1" customFormat="1" ht="9" customHeight="1"/>
    <row r="12" spans="66:120" s="1" customFormat="1" ht="9" customHeight="1"/>
    <row r="13" spans="66:120" s="1" customFormat="1" ht="9" customHeight="1"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</row>
    <row r="14" spans="66:120" s="1" customFormat="1" ht="9" customHeight="1"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</row>
    <row r="15" spans="66:120" s="1" customFormat="1" ht="9" customHeight="1"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66:120" s="1" customFormat="1" ht="9" customHeight="1"/>
    <row r="17" spans="66:120" s="1" customFormat="1" ht="9" customHeight="1"/>
    <row r="18" spans="66:120" s="1" customFormat="1" ht="9" customHeight="1"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</row>
    <row r="19" spans="66:120" s="1" customFormat="1" ht="9" customHeight="1"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</row>
    <row r="20" spans="66:120" s="1" customFormat="1" ht="9" customHeight="1"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</row>
    <row r="21" spans="66:120" s="1" customFormat="1" ht="9" customHeight="1"/>
    <row r="22" spans="66:120" s="1" customFormat="1" ht="9" customHeight="1"/>
    <row r="23" spans="66:120" s="1" customFormat="1" ht="9" customHeight="1"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</row>
    <row r="24" spans="66:120" s="1" customFormat="1" ht="9" customHeight="1"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</row>
    <row r="25" spans="66:120" s="1" customFormat="1" ht="9" customHeight="1"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</row>
    <row r="26" spans="66:120" s="1" customFormat="1" ht="9" customHeight="1"/>
    <row r="27" spans="66:120" s="1" customFormat="1" ht="9" customHeight="1"/>
    <row r="28" spans="66:120" s="1" customFormat="1" ht="9" customHeight="1"/>
    <row r="29" spans="66:120" s="1" customFormat="1" ht="9" customHeight="1"/>
    <row r="30" spans="66:120" s="1" customFormat="1" ht="9" customHeight="1"/>
    <row r="31" spans="66:120" s="1" customFormat="1" ht="9" customHeight="1"/>
    <row r="32" spans="66:120" s="1" customFormat="1" ht="9" customHeight="1"/>
    <row r="33" s="1" customFormat="1" ht="9" customHeight="1"/>
    <row r="34" s="1" customFormat="1" ht="9" customHeight="1"/>
    <row r="35" s="1" customFormat="1" ht="9" customHeight="1"/>
    <row r="36" s="1" customFormat="1" ht="9" customHeight="1"/>
    <row r="37" s="1" customFormat="1" ht="9" customHeight="1"/>
    <row r="38" s="1" customFormat="1" ht="9" customHeight="1"/>
    <row r="39" s="1" customFormat="1" ht="9" customHeight="1"/>
    <row r="40" s="1" customFormat="1" ht="9" customHeight="1"/>
    <row r="41" s="1" customFormat="1" ht="9" customHeight="1"/>
    <row r="42" s="1" customFormat="1" ht="9" customHeight="1"/>
    <row r="43" s="1" customFormat="1" ht="9" customHeight="1"/>
    <row r="44" s="1" customFormat="1" ht="9" customHeight="1"/>
    <row r="45" s="1" customFormat="1" ht="9" customHeight="1"/>
    <row r="46" s="1" customFormat="1" ht="9" customHeight="1"/>
    <row r="47" s="1" customFormat="1" ht="9" customHeight="1"/>
    <row r="48" s="1" customFormat="1" ht="9" customHeight="1"/>
    <row r="49" s="1" customFormat="1" ht="9" customHeight="1"/>
    <row r="50" s="1" customFormat="1" ht="9" customHeight="1"/>
    <row r="51" s="1" customFormat="1" ht="9" customHeight="1"/>
    <row r="52" s="1" customFormat="1" ht="9" customHeight="1"/>
    <row r="53" s="1" customFormat="1" ht="9" customHeight="1"/>
    <row r="54" s="1" customFormat="1" ht="9" customHeight="1"/>
    <row r="55" s="1" customFormat="1" ht="9" customHeight="1"/>
    <row r="56" s="1" customFormat="1" ht="9" customHeight="1"/>
    <row r="57" s="1" customFormat="1" ht="9" customHeight="1"/>
    <row r="58" s="1" customFormat="1" ht="9" customHeight="1"/>
    <row r="59" s="1" customFormat="1" ht="9" customHeight="1"/>
    <row r="60" s="1" customFormat="1" ht="9" customHeight="1"/>
    <row r="61" s="1" customFormat="1" ht="9" customHeight="1"/>
    <row r="62" s="1" customFormat="1" ht="9" customHeight="1"/>
    <row r="63" s="1" customFormat="1" ht="9" customHeight="1"/>
    <row r="64" s="1" customFormat="1" ht="9" customHeight="1"/>
    <row r="65" spans="66:83" s="1" customFormat="1" ht="9" customHeight="1"/>
    <row r="66" spans="66:83" s="1" customFormat="1" ht="9" customHeight="1"/>
    <row r="67" spans="66:83" s="1" customFormat="1" ht="9" customHeight="1"/>
    <row r="68" spans="66:83" s="1" customFormat="1" ht="9" customHeight="1"/>
    <row r="69" spans="66:83" s="1" customFormat="1" ht="9" customHeight="1"/>
    <row r="70" spans="66:83" s="1" customFormat="1" ht="9" customHeight="1"/>
    <row r="71" spans="66:83" s="1" customFormat="1" ht="9" customHeight="1"/>
    <row r="72" spans="66:83" s="1" customFormat="1" ht="9" customHeight="1"/>
    <row r="73" spans="66:83" s="1" customFormat="1" ht="9" customHeight="1"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</row>
    <row r="74" spans="66:83" s="1" customFormat="1" ht="9" customHeight="1"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</row>
    <row r="75" spans="66:83" s="1" customFormat="1" ht="9" customHeight="1"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</row>
    <row r="76" spans="66:83" s="1" customFormat="1" ht="9" customHeight="1"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</row>
    <row r="77" spans="66:83" s="1" customFormat="1" ht="9" customHeight="1"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</row>
    <row r="78" spans="66:83" s="1" customFormat="1" ht="9" customHeight="1"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</row>
    <row r="79" spans="66:83" s="1" customFormat="1" ht="9" customHeight="1"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</row>
    <row r="80" spans="66:83" s="1" customFormat="1" ht="9" customHeight="1"/>
    <row r="81" s="1" customFormat="1" ht="9" customHeight="1"/>
    <row r="82" s="1" customFormat="1" ht="9" customHeight="1"/>
    <row r="83" s="1" customFormat="1" ht="9" customHeight="1"/>
    <row r="84" s="1" customFormat="1" ht="9" customHeight="1"/>
    <row r="85" s="1" customFormat="1" ht="9" customHeight="1"/>
    <row r="86" s="1" customFormat="1" ht="9" customHeight="1"/>
    <row r="87" s="1" customFormat="1" ht="9" customHeight="1"/>
    <row r="88" s="1" customFormat="1" ht="9" customHeight="1"/>
    <row r="89" s="1" customFormat="1" ht="9" customHeight="1"/>
    <row r="90" s="1" customFormat="1" ht="9" customHeight="1"/>
    <row r="91" s="1" customFormat="1" ht="9" customHeight="1"/>
    <row r="92" s="1" customFormat="1" ht="9" customHeight="1"/>
    <row r="93" s="1" customFormat="1" ht="9" customHeight="1"/>
    <row r="94" s="1" customFormat="1" ht="9" customHeight="1"/>
    <row r="95" s="1" customFormat="1" ht="9" customHeight="1"/>
    <row r="96" s="1" customFormat="1" ht="9" customHeight="1"/>
    <row r="97" s="1" customFormat="1" ht="9" customHeight="1"/>
    <row r="98" s="1" customFormat="1" ht="9" customHeight="1"/>
    <row r="99" s="1" customFormat="1" ht="9" customHeight="1"/>
    <row r="100" s="1" customFormat="1" ht="9" customHeight="1"/>
    <row r="101" s="1" customFormat="1" ht="9" customHeight="1"/>
    <row r="102" s="1" customFormat="1" ht="9" customHeight="1"/>
    <row r="103" s="1" customFormat="1" ht="9" customHeight="1"/>
    <row r="104" s="1" customFormat="1" ht="9" customHeight="1"/>
    <row r="105" s="1" customFormat="1" ht="9" customHeight="1"/>
    <row r="106" s="1" customFormat="1" ht="9" customHeight="1"/>
    <row r="107" s="1" customFormat="1" ht="9" customHeight="1"/>
    <row r="108" s="1" customFormat="1" ht="9" customHeight="1"/>
    <row r="109" s="1" customFormat="1" ht="9" customHeight="1"/>
    <row r="110" s="1" customFormat="1" ht="9" customHeight="1"/>
    <row r="111" s="1" customFormat="1" ht="9" customHeight="1"/>
    <row r="112" s="1" customFormat="1" ht="9" customHeight="1"/>
    <row r="113" s="1" customFormat="1" ht="9" customHeight="1"/>
    <row r="114" s="1" customFormat="1" ht="9" customHeight="1"/>
    <row r="115" s="1" customFormat="1" ht="9" customHeight="1"/>
    <row r="116" s="1" customFormat="1" ht="9" customHeight="1"/>
    <row r="117" s="1" customFormat="1" ht="9" customHeight="1"/>
    <row r="118" s="1" customFormat="1" ht="9" customHeight="1"/>
    <row r="119" s="1" customFormat="1" ht="9" customHeight="1"/>
    <row r="120" s="1" customFormat="1" ht="9" customHeight="1"/>
    <row r="121" s="1" customFormat="1" ht="9" customHeight="1"/>
    <row r="122" s="1" customFormat="1" ht="9" customHeight="1"/>
    <row r="123" s="1" customFormat="1" ht="9" customHeight="1"/>
    <row r="124" s="1" customFormat="1" ht="9" customHeight="1"/>
    <row r="125" s="1" customFormat="1" ht="9" customHeight="1"/>
    <row r="126" s="1" customFormat="1" ht="9" customHeight="1"/>
    <row r="127" s="1" customFormat="1" ht="9" customHeight="1"/>
    <row r="128" s="1" customFormat="1" ht="9" customHeight="1"/>
    <row r="129" s="1" customFormat="1" ht="9" customHeight="1"/>
    <row r="130" s="1" customFormat="1" ht="9" customHeight="1"/>
    <row r="131" s="1" customFormat="1" ht="9" customHeight="1"/>
    <row r="132" s="1" customFormat="1" ht="9" customHeight="1"/>
    <row r="133" s="1" customFormat="1" ht="9" customHeight="1"/>
    <row r="134" s="1" customFormat="1" ht="9" customHeight="1"/>
    <row r="135" s="1" customFormat="1" ht="9" customHeight="1"/>
    <row r="136" s="1" customFormat="1" ht="9" customHeight="1"/>
    <row r="137" s="1" customFormat="1" ht="9" customHeight="1"/>
    <row r="138" s="1" customFormat="1" ht="9" customHeight="1"/>
    <row r="139" s="1" customFormat="1" ht="9" customHeight="1"/>
    <row r="140" s="1" customFormat="1" ht="9" customHeight="1"/>
    <row r="141" s="1" customFormat="1" ht="9" customHeight="1"/>
    <row r="142" s="1" customFormat="1" ht="9" customHeight="1"/>
    <row r="143" s="1" customFormat="1" ht="9" customHeight="1"/>
    <row r="144" s="1" customFormat="1" ht="9" customHeight="1"/>
    <row r="145" s="1" customFormat="1" ht="9" customHeight="1"/>
    <row r="146" s="1" customFormat="1" ht="9" customHeight="1"/>
    <row r="147" s="1" customFormat="1" ht="9" customHeight="1"/>
    <row r="148" s="1" customFormat="1" ht="9" customHeight="1"/>
    <row r="149" s="1" customFormat="1" ht="9" customHeight="1"/>
    <row r="150" s="1" customFormat="1" ht="9" customHeight="1"/>
    <row r="151" s="1" customFormat="1" ht="9" customHeight="1"/>
    <row r="152" s="1" customFormat="1" ht="9" customHeight="1"/>
    <row r="153" s="1" customFormat="1" ht="9" customHeight="1"/>
    <row r="154" s="1" customFormat="1" ht="9" customHeight="1"/>
    <row r="155" s="1" customFormat="1" ht="9" customHeight="1"/>
    <row r="156" s="1" customFormat="1" ht="9" customHeight="1"/>
    <row r="157" s="1" customFormat="1" ht="9" customHeight="1"/>
    <row r="158" s="1" customFormat="1" ht="9" customHeight="1"/>
    <row r="159" s="1" customFormat="1" ht="9" customHeight="1"/>
    <row r="160" s="1" customFormat="1" ht="9" customHeight="1"/>
    <row r="161" s="1" customFormat="1" ht="9" customHeight="1"/>
    <row r="162" s="1" customFormat="1" ht="9" customHeight="1"/>
    <row r="163" s="1" customFormat="1" ht="9" customHeight="1"/>
    <row r="164" s="1" customFormat="1" ht="9" customHeight="1"/>
    <row r="165" s="1" customFormat="1" ht="9" customHeight="1"/>
    <row r="166" s="1" customFormat="1" ht="9" customHeight="1"/>
    <row r="167" s="1" customFormat="1" ht="9" customHeight="1"/>
    <row r="168" s="1" customFormat="1" ht="9" customHeight="1"/>
    <row r="169" s="1" customFormat="1" ht="9" customHeight="1"/>
    <row r="170" s="1" customFormat="1" ht="9" customHeight="1"/>
    <row r="171" s="1" customFormat="1" ht="9" customHeight="1"/>
    <row r="172" s="1" customFormat="1" ht="9" customHeight="1"/>
    <row r="173" s="1" customFormat="1" ht="9" customHeight="1"/>
    <row r="174" s="1" customFormat="1" ht="9" customHeight="1"/>
    <row r="175" s="1" customFormat="1" ht="9" customHeight="1"/>
    <row r="176" s="1" customFormat="1" ht="9" customHeight="1"/>
    <row r="177" s="1" customFormat="1" ht="9" customHeight="1"/>
    <row r="178" s="1" customFormat="1" ht="9" customHeight="1"/>
    <row r="179" s="1" customFormat="1" ht="9" customHeight="1"/>
    <row r="180" s="1" customFormat="1" ht="9" customHeight="1"/>
    <row r="181" s="1" customFormat="1" ht="9" customHeight="1"/>
    <row r="182" s="1" customFormat="1" ht="9" customHeight="1"/>
    <row r="183" s="1" customFormat="1" ht="9" customHeight="1"/>
    <row r="184" s="1" customFormat="1" ht="9" customHeight="1"/>
    <row r="185" s="1" customFormat="1" ht="9" customHeight="1"/>
    <row r="186" s="1" customFormat="1" ht="9" customHeight="1"/>
    <row r="187" s="1" customFormat="1" ht="9" customHeight="1"/>
    <row r="188" s="1" customFormat="1" ht="9" customHeight="1"/>
    <row r="189" s="1" customFormat="1" ht="9" customHeight="1"/>
    <row r="190" s="1" customFormat="1" ht="9" customHeight="1"/>
    <row r="191" s="1" customFormat="1" ht="9" customHeight="1"/>
    <row r="192" s="1" customFormat="1" ht="9" customHeight="1"/>
    <row r="193" s="1" customFormat="1" ht="9" customHeight="1"/>
    <row r="194" s="1" customFormat="1" ht="9" customHeight="1"/>
    <row r="195" s="1" customFormat="1" ht="9" customHeight="1"/>
    <row r="196" s="1" customFormat="1" ht="9" customHeight="1"/>
    <row r="197" s="1" customFormat="1" ht="9" customHeight="1"/>
    <row r="198" s="1" customFormat="1" ht="9" customHeight="1"/>
    <row r="199" s="1" customFormat="1" ht="9" customHeight="1"/>
    <row r="200" s="1" customFormat="1" ht="9" customHeight="1"/>
    <row r="201" s="1" customFormat="1" ht="9" customHeight="1"/>
    <row r="202" s="1" customFormat="1" ht="9" customHeight="1"/>
    <row r="203" s="1" customFormat="1" ht="9" customHeight="1"/>
    <row r="204" s="1" customFormat="1" ht="9" customHeight="1"/>
    <row r="205" s="1" customFormat="1" ht="9" customHeight="1"/>
    <row r="206" s="1" customFormat="1" ht="9" customHeight="1"/>
    <row r="207" s="1" customFormat="1" ht="9" customHeight="1"/>
    <row r="208" s="1" customFormat="1" ht="9" customHeight="1"/>
    <row r="209" s="1" customFormat="1" ht="9" customHeight="1"/>
    <row r="210" s="1" customFormat="1" ht="9" customHeight="1"/>
    <row r="211" s="1" customFormat="1" ht="9" customHeight="1"/>
    <row r="212" s="1" customFormat="1" ht="9" customHeight="1"/>
    <row r="213" s="1" customFormat="1" ht="9" customHeight="1"/>
    <row r="214" s="1" customFormat="1" ht="9" customHeight="1"/>
    <row r="215" s="1" customFormat="1" ht="9" customHeight="1"/>
    <row r="216" s="1" customFormat="1" ht="9" customHeight="1"/>
    <row r="217" s="1" customFormat="1" ht="9" customHeight="1"/>
    <row r="218" s="1" customFormat="1" ht="9" customHeight="1"/>
    <row r="219" s="1" customFormat="1" ht="9" customHeight="1"/>
    <row r="220" s="1" customFormat="1" ht="9" customHeight="1"/>
    <row r="221" s="1" customFormat="1" ht="9" customHeight="1"/>
    <row r="222" s="1" customFormat="1" ht="9" customHeight="1"/>
    <row r="223" s="1" customFormat="1" ht="9" customHeight="1"/>
    <row r="224" s="1" customFormat="1" ht="9" customHeight="1"/>
    <row r="225" s="1" customFormat="1" ht="9" customHeight="1"/>
    <row r="226" s="1" customFormat="1" ht="9" customHeight="1"/>
    <row r="227" s="1" customFormat="1" ht="9" customHeight="1"/>
    <row r="228" s="1" customFormat="1" ht="9" customHeight="1"/>
    <row r="229" s="1" customFormat="1" ht="9" customHeight="1"/>
    <row r="230" s="1" customFormat="1" ht="9" customHeight="1"/>
    <row r="231" s="1" customFormat="1" ht="9" customHeight="1"/>
    <row r="232" s="1" customFormat="1" ht="9" customHeight="1"/>
    <row r="233" s="1" customFormat="1" ht="9" customHeight="1"/>
    <row r="234" s="1" customFormat="1" ht="9" customHeight="1"/>
    <row r="235" s="1" customFormat="1" ht="9" customHeight="1"/>
    <row r="236" s="1" customFormat="1" ht="9" customHeight="1"/>
    <row r="237" s="1" customFormat="1" ht="9" customHeight="1"/>
    <row r="238" s="1" customFormat="1" ht="9" customHeight="1"/>
    <row r="239" s="1" customFormat="1" ht="9" customHeight="1"/>
    <row r="240" s="1" customFormat="1" ht="9" customHeight="1"/>
    <row r="241" s="1" customFormat="1" ht="9" customHeight="1"/>
    <row r="242" s="1" customFormat="1" ht="9" customHeight="1"/>
    <row r="243" s="1" customFormat="1" ht="9" customHeight="1"/>
    <row r="244" s="1" customFormat="1" ht="9" customHeight="1"/>
    <row r="245" s="1" customFormat="1" ht="9" customHeight="1"/>
    <row r="246" s="1" customFormat="1" ht="9" customHeight="1"/>
    <row r="247" s="1" customFormat="1" ht="9" customHeight="1"/>
    <row r="248" s="1" customFormat="1" ht="9" customHeight="1"/>
    <row r="249" s="1" customFormat="1" ht="9" customHeight="1"/>
    <row r="250" s="1" customFormat="1" ht="9" customHeight="1"/>
    <row r="251" s="1" customFormat="1" ht="9" customHeight="1"/>
    <row r="252" s="1" customFormat="1" ht="9" customHeight="1"/>
    <row r="253" s="1" customFormat="1" ht="9" customHeight="1"/>
    <row r="254" s="1" customFormat="1" ht="9" customHeight="1"/>
    <row r="255" s="1" customFormat="1" ht="9" customHeight="1"/>
    <row r="256" s="1" customFormat="1" ht="9" customHeight="1"/>
    <row r="257" s="1" customFormat="1" ht="9" customHeight="1"/>
    <row r="258" s="1" customFormat="1" ht="9" customHeight="1"/>
    <row r="259" s="1" customFormat="1" ht="9" customHeight="1"/>
    <row r="260" s="1" customFormat="1" ht="9" customHeight="1"/>
  </sheetData>
  <mergeCells count="12">
    <mergeCell ref="BN13:BZ15"/>
    <mergeCell ref="CB13:CN15"/>
    <mergeCell ref="CP13:DB15"/>
    <mergeCell ref="DD13:DP15"/>
    <mergeCell ref="BN18:CN20"/>
    <mergeCell ref="CP18:DB20"/>
    <mergeCell ref="DD18:DP20"/>
    <mergeCell ref="BN23:BZ25"/>
    <mergeCell ref="CB23:CN25"/>
    <mergeCell ref="CP23:DB25"/>
    <mergeCell ref="DD23:DP25"/>
    <mergeCell ref="BN73:CE79"/>
  </mergeCells>
  <dataValidations count="2">
    <dataValidation type="date" operator="greaterThan" allowBlank="1" showInputMessage="1" showErrorMessage="1" errorTitle="Date" error="Entre une date, par ex. 07/10/2026." sqref="DD18:DP20">
      <formula1>36526</formula1>
    </dataValidation>
    <dataValidation type="date" operator="greaterThan" allowBlank="1" showInputMessage="1" showErrorMessage="1" errorTitle="Date" error="Entre une date, par ex. 07/10/2026." sqref="BN73:CE79">
      <formula1>36526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R946"/>
  <sheetViews>
    <sheetView workbookViewId="0"/>
  </sheetViews>
  <sheetFormatPr defaultRowHeight="15"/>
  <cols>
    <col min="1" max="1" width="8.7109375" customWidth="1"/>
    <col min="2" max="2" width="38.7109375" customWidth="1"/>
    <col min="3" max="26" width="13.7109375" customWidth="1"/>
  </cols>
  <sheetData>
    <row r="1" spans="1:14">
      <c r="A1" s="6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13</v>
      </c>
      <c r="I1" s="6" t="s">
        <v>14</v>
      </c>
      <c r="J1" s="6" t="s">
        <v>15</v>
      </c>
      <c r="K1" s="6" t="s">
        <v>16</v>
      </c>
      <c r="L1" s="6" t="s">
        <v>17</v>
      </c>
      <c r="M1" s="6" t="s">
        <v>18</v>
      </c>
      <c r="N1" s="6" t="s">
        <v>19</v>
      </c>
    </row>
    <row r="2" spans="1:14">
      <c r="A2" t="s">
        <v>20</v>
      </c>
      <c r="B2" t="s">
        <v>21</v>
      </c>
      <c r="C2">
        <v>1</v>
      </c>
      <c r="D2" t="b">
        <v>0</v>
      </c>
      <c r="E2">
        <f>D2</f>
        <v>0</v>
      </c>
      <c r="F2">
        <f>OR(E2,AND(Calcul!$F$3,Calcul!$F$4,Calcul!$F$5,Calcul!$F$6))</f>
        <v>0</v>
      </c>
      <c r="G2" t="b">
        <v>0</v>
      </c>
      <c r="I2" t="s">
        <v>22</v>
      </c>
      <c r="J2">
        <v>0</v>
      </c>
      <c r="K2">
        <v>4</v>
      </c>
      <c r="L2">
        <f>Calcul!$I$43</f>
        <v>0</v>
      </c>
      <c r="M2">
        <f>Calcul!$L$43</f>
        <v>0</v>
      </c>
    </row>
    <row r="3" spans="1:14">
      <c r="A3" t="s">
        <v>23</v>
      </c>
      <c r="B3" t="s">
        <v>24</v>
      </c>
      <c r="C3">
        <v>2</v>
      </c>
      <c r="D3" t="b">
        <v>0</v>
      </c>
      <c r="E3">
        <f>OR(D3,Calcul!$E$2)</f>
        <v>0</v>
      </c>
      <c r="F3">
        <f>E3</f>
        <v>0</v>
      </c>
      <c r="G3" t="b">
        <v>0</v>
      </c>
      <c r="H3" t="s">
        <v>20</v>
      </c>
      <c r="J3">
        <v>0</v>
      </c>
      <c r="K3">
        <v>5</v>
      </c>
      <c r="L3">
        <f>Calcul!$I$43</f>
        <v>0</v>
      </c>
      <c r="M3">
        <f>""</f>
        <v>0</v>
      </c>
    </row>
    <row r="4" spans="1:14">
      <c r="A4" t="s">
        <v>25</v>
      </c>
      <c r="B4" t="s">
        <v>26</v>
      </c>
      <c r="C4">
        <v>2</v>
      </c>
      <c r="D4" t="b">
        <v>0</v>
      </c>
      <c r="E4">
        <f>OR(D4,Calcul!$E$2)</f>
        <v>0</v>
      </c>
      <c r="F4">
        <f>E4</f>
        <v>0</v>
      </c>
      <c r="G4" t="b">
        <v>0</v>
      </c>
      <c r="H4" t="s">
        <v>20</v>
      </c>
      <c r="J4">
        <v>1</v>
      </c>
      <c r="K4">
        <v>6</v>
      </c>
      <c r="L4">
        <f>Calcul!$I$43</f>
        <v>0</v>
      </c>
      <c r="M4">
        <f>""</f>
        <v>0</v>
      </c>
    </row>
    <row r="5" spans="1:14">
      <c r="A5" t="s">
        <v>27</v>
      </c>
      <c r="B5" t="s">
        <v>28</v>
      </c>
      <c r="C5">
        <v>2</v>
      </c>
      <c r="D5" t="b">
        <v>0</v>
      </c>
      <c r="E5">
        <f>OR(D5,Calcul!$E$2)</f>
        <v>0</v>
      </c>
      <c r="F5">
        <f>E5</f>
        <v>0</v>
      </c>
      <c r="G5" t="b">
        <v>0</v>
      </c>
      <c r="H5" t="s">
        <v>20</v>
      </c>
      <c r="J5">
        <v>2</v>
      </c>
      <c r="K5">
        <v>7</v>
      </c>
      <c r="L5">
        <f>Calcul!$I$43</f>
        <v>0</v>
      </c>
      <c r="M5">
        <f>""</f>
        <v>0</v>
      </c>
    </row>
    <row r="6" spans="1:14">
      <c r="A6" t="s">
        <v>29</v>
      </c>
      <c r="B6" t="s">
        <v>30</v>
      </c>
      <c r="C6">
        <v>2</v>
      </c>
      <c r="D6" t="b">
        <v>0</v>
      </c>
      <c r="E6">
        <f>OR(D6,Calcul!$E$2)</f>
        <v>0</v>
      </c>
      <c r="F6">
        <f>E6</f>
        <v>0</v>
      </c>
      <c r="G6" t="b">
        <v>0</v>
      </c>
      <c r="H6" t="s">
        <v>20</v>
      </c>
      <c r="J6">
        <v>3</v>
      </c>
      <c r="K6">
        <v>8</v>
      </c>
      <c r="L6">
        <f>Calcul!$I$43</f>
        <v>0</v>
      </c>
      <c r="M6">
        <f>""</f>
        <v>0</v>
      </c>
    </row>
    <row r="7" spans="1:14">
      <c r="A7" t="s">
        <v>31</v>
      </c>
      <c r="B7" t="s">
        <v>32</v>
      </c>
      <c r="C7">
        <v>1</v>
      </c>
      <c r="D7" t="b">
        <v>0</v>
      </c>
      <c r="E7">
        <f>D7</f>
        <v>0</v>
      </c>
      <c r="F7">
        <f>OR(E7,OR(Calcul!$F$8,Calcul!$F$12))</f>
        <v>0</v>
      </c>
      <c r="G7" t="b">
        <v>0</v>
      </c>
      <c r="I7" t="s">
        <v>33</v>
      </c>
      <c r="J7">
        <v>1</v>
      </c>
      <c r="K7">
        <v>9</v>
      </c>
      <c r="L7">
        <f>Calcul!$I$44</f>
        <v>0</v>
      </c>
      <c r="M7">
        <f>Calcul!$L$44</f>
        <v>0</v>
      </c>
    </row>
    <row r="8" spans="1:14">
      <c r="A8" t="s">
        <v>34</v>
      </c>
      <c r="B8" t="s">
        <v>35</v>
      </c>
      <c r="C8">
        <v>2</v>
      </c>
      <c r="D8" t="b">
        <v>0</v>
      </c>
      <c r="E8">
        <f>D8</f>
        <v>0</v>
      </c>
      <c r="F8">
        <f>OR(E8,AND(Calcul!$F$9,Calcul!$F$10,Calcul!$F$11))</f>
        <v>0</v>
      </c>
      <c r="G8" t="b">
        <v>0</v>
      </c>
      <c r="H8" t="s">
        <v>31</v>
      </c>
      <c r="I8" t="s">
        <v>22</v>
      </c>
      <c r="J8">
        <v>0</v>
      </c>
      <c r="K8">
        <v>10</v>
      </c>
      <c r="L8">
        <f>Calcul!$I$44</f>
        <v>0</v>
      </c>
      <c r="M8">
        <f>""</f>
        <v>0</v>
      </c>
      <c r="N8" t="s">
        <v>36</v>
      </c>
    </row>
    <row r="9" spans="1:14">
      <c r="A9" t="s">
        <v>37</v>
      </c>
      <c r="B9" t="s">
        <v>38</v>
      </c>
      <c r="C9">
        <v>3</v>
      </c>
      <c r="D9" t="b">
        <v>0</v>
      </c>
      <c r="E9">
        <f>OR(D9,Calcul!$E$8)</f>
        <v>0</v>
      </c>
      <c r="F9">
        <f>E9</f>
        <v>0</v>
      </c>
      <c r="G9" t="b">
        <v>0</v>
      </c>
      <c r="H9" t="s">
        <v>34</v>
      </c>
      <c r="J9">
        <v>0</v>
      </c>
      <c r="K9">
        <v>11</v>
      </c>
      <c r="L9">
        <f>Calcul!$I$44</f>
        <v>0</v>
      </c>
      <c r="M9">
        <f>""</f>
        <v>0</v>
      </c>
    </row>
    <row r="10" spans="1:14">
      <c r="A10" t="s">
        <v>39</v>
      </c>
      <c r="B10" t="s">
        <v>40</v>
      </c>
      <c r="C10">
        <v>3</v>
      </c>
      <c r="D10" t="b">
        <v>0</v>
      </c>
      <c r="E10">
        <f>OR(D10,Calcul!$E$8)</f>
        <v>0</v>
      </c>
      <c r="F10">
        <f>E10</f>
        <v>0</v>
      </c>
      <c r="G10" t="b">
        <v>0</v>
      </c>
      <c r="H10" t="s">
        <v>34</v>
      </c>
      <c r="J10">
        <v>1</v>
      </c>
      <c r="K10">
        <v>12</v>
      </c>
      <c r="L10">
        <f>Calcul!$I$44</f>
        <v>0</v>
      </c>
      <c r="M10">
        <f>""</f>
        <v>0</v>
      </c>
    </row>
    <row r="11" spans="1:14">
      <c r="A11" t="s">
        <v>41</v>
      </c>
      <c r="B11" t="s">
        <v>42</v>
      </c>
      <c r="C11">
        <v>3</v>
      </c>
      <c r="D11" t="b">
        <v>0</v>
      </c>
      <c r="E11">
        <f>OR(D11,Calcul!$E$8)</f>
        <v>0</v>
      </c>
      <c r="F11">
        <f>E11</f>
        <v>0</v>
      </c>
      <c r="G11" t="b">
        <v>0</v>
      </c>
      <c r="H11" t="s">
        <v>34</v>
      </c>
      <c r="J11">
        <v>2</v>
      </c>
      <c r="K11">
        <v>13</v>
      </c>
      <c r="L11">
        <f>Calcul!$I$44</f>
        <v>0</v>
      </c>
      <c r="M11">
        <f>""</f>
        <v>0</v>
      </c>
    </row>
    <row r="12" spans="1:14">
      <c r="A12" t="s">
        <v>43</v>
      </c>
      <c r="B12" t="s">
        <v>44</v>
      </c>
      <c r="C12">
        <v>2</v>
      </c>
      <c r="D12" t="b">
        <v>0</v>
      </c>
      <c r="E12">
        <f>D12</f>
        <v>0</v>
      </c>
      <c r="F12">
        <f>OR(E12,AND(Calcul!$F$13,Calcul!$F$14))</f>
        <v>0</v>
      </c>
      <c r="G12" t="b">
        <v>0</v>
      </c>
      <c r="H12" t="s">
        <v>31</v>
      </c>
      <c r="I12" t="s">
        <v>22</v>
      </c>
      <c r="J12">
        <v>1</v>
      </c>
      <c r="K12">
        <v>15</v>
      </c>
      <c r="L12">
        <f>Calcul!$I$44</f>
        <v>0</v>
      </c>
      <c r="M12">
        <f>""</f>
        <v>0</v>
      </c>
      <c r="N12" t="s">
        <v>45</v>
      </c>
    </row>
    <row r="13" spans="1:14">
      <c r="A13" t="s">
        <v>46</v>
      </c>
      <c r="B13" t="s">
        <v>47</v>
      </c>
      <c r="C13">
        <v>3</v>
      </c>
      <c r="D13" t="b">
        <v>0</v>
      </c>
      <c r="E13">
        <f>OR(D13,Calcul!$E$12)</f>
        <v>0</v>
      </c>
      <c r="F13">
        <f>E13</f>
        <v>0</v>
      </c>
      <c r="G13" t="b">
        <v>0</v>
      </c>
      <c r="H13" t="s">
        <v>43</v>
      </c>
      <c r="J13">
        <v>0</v>
      </c>
      <c r="K13">
        <v>16</v>
      </c>
      <c r="L13">
        <f>Calcul!$I$44</f>
        <v>0</v>
      </c>
      <c r="M13">
        <f>""</f>
        <v>0</v>
      </c>
    </row>
    <row r="14" spans="1:14">
      <c r="A14" t="s">
        <v>48</v>
      </c>
      <c r="B14" t="s">
        <v>49</v>
      </c>
      <c r="C14">
        <v>3</v>
      </c>
      <c r="D14" t="b">
        <v>0</v>
      </c>
      <c r="E14">
        <f>OR(D14,Calcul!$E$12)</f>
        <v>0</v>
      </c>
      <c r="F14">
        <f>E14</f>
        <v>0</v>
      </c>
      <c r="G14" t="b">
        <v>0</v>
      </c>
      <c r="H14" t="s">
        <v>43</v>
      </c>
      <c r="J14">
        <v>1</v>
      </c>
      <c r="K14">
        <v>17</v>
      </c>
      <c r="L14">
        <f>Calcul!$I$44</f>
        <v>0</v>
      </c>
      <c r="M14">
        <f>""</f>
        <v>0</v>
      </c>
    </row>
    <row r="15" spans="1:14">
      <c r="A15" t="s">
        <v>50</v>
      </c>
      <c r="B15" t="s">
        <v>51</v>
      </c>
      <c r="C15">
        <v>1</v>
      </c>
      <c r="D15" t="b">
        <v>0</v>
      </c>
      <c r="E15">
        <f>D15</f>
        <v>0</v>
      </c>
      <c r="F15">
        <f>OR(E15,AND(Calcul!$F$16,Calcul!$F$17,Calcul!$F$18,Calcul!$F$19))</f>
        <v>0</v>
      </c>
      <c r="G15" t="b">
        <v>0</v>
      </c>
      <c r="I15" t="s">
        <v>22</v>
      </c>
      <c r="J15">
        <v>2</v>
      </c>
      <c r="K15">
        <v>18</v>
      </c>
      <c r="L15">
        <f>Calcul!$I$45</f>
        <v>0</v>
      </c>
      <c r="M15">
        <f>Calcul!$L$45</f>
        <v>0</v>
      </c>
    </row>
    <row r="16" spans="1:14">
      <c r="A16" t="s">
        <v>52</v>
      </c>
      <c r="B16" t="s">
        <v>53</v>
      </c>
      <c r="C16">
        <v>2</v>
      </c>
      <c r="D16" t="b">
        <v>0</v>
      </c>
      <c r="E16">
        <f>OR(D16,Calcul!$E$15)</f>
        <v>0</v>
      </c>
      <c r="F16">
        <f>E16</f>
        <v>0</v>
      </c>
      <c r="G16" t="b">
        <v>0</v>
      </c>
      <c r="H16" t="s">
        <v>50</v>
      </c>
      <c r="J16">
        <v>0</v>
      </c>
      <c r="K16">
        <v>19</v>
      </c>
      <c r="L16">
        <f>Calcul!$I$45</f>
        <v>0</v>
      </c>
      <c r="M16">
        <f>""</f>
        <v>0</v>
      </c>
    </row>
    <row r="17" spans="1:14">
      <c r="A17" t="s">
        <v>54</v>
      </c>
      <c r="B17" t="s">
        <v>55</v>
      </c>
      <c r="C17">
        <v>2</v>
      </c>
      <c r="D17" t="b">
        <v>0</v>
      </c>
      <c r="E17">
        <f>OR(D17,Calcul!$E$15)</f>
        <v>0</v>
      </c>
      <c r="F17">
        <f>E17</f>
        <v>0</v>
      </c>
      <c r="G17" t="b">
        <v>0</v>
      </c>
      <c r="H17" t="s">
        <v>50</v>
      </c>
      <c r="J17">
        <v>1</v>
      </c>
      <c r="K17">
        <v>20</v>
      </c>
      <c r="L17">
        <f>Calcul!$I$45</f>
        <v>0</v>
      </c>
      <c r="M17">
        <f>""</f>
        <v>0</v>
      </c>
    </row>
    <row r="18" spans="1:14">
      <c r="A18" t="s">
        <v>56</v>
      </c>
      <c r="B18" t="s">
        <v>57</v>
      </c>
      <c r="C18">
        <v>2</v>
      </c>
      <c r="D18" t="b">
        <v>0</v>
      </c>
      <c r="E18">
        <f>OR(D18,Calcul!$E$15)</f>
        <v>0</v>
      </c>
      <c r="F18">
        <f>E18</f>
        <v>0</v>
      </c>
      <c r="G18" t="b">
        <v>0</v>
      </c>
      <c r="H18" t="s">
        <v>50</v>
      </c>
      <c r="J18">
        <v>2</v>
      </c>
      <c r="K18">
        <v>21</v>
      </c>
      <c r="L18">
        <f>Calcul!$I$45</f>
        <v>0</v>
      </c>
      <c r="M18">
        <f>""</f>
        <v>0</v>
      </c>
    </row>
    <row r="19" spans="1:14">
      <c r="A19" t="s">
        <v>58</v>
      </c>
      <c r="B19" t="s">
        <v>59</v>
      </c>
      <c r="C19">
        <v>2</v>
      </c>
      <c r="D19" t="b">
        <v>0</v>
      </c>
      <c r="E19">
        <f>OR(D19,Calcul!$E$15)</f>
        <v>0</v>
      </c>
      <c r="F19">
        <f>E19</f>
        <v>0</v>
      </c>
      <c r="G19" t="b">
        <v>0</v>
      </c>
      <c r="H19" t="s">
        <v>50</v>
      </c>
      <c r="J19">
        <v>3</v>
      </c>
      <c r="K19">
        <v>22</v>
      </c>
      <c r="L19">
        <f>Calcul!$I$45</f>
        <v>0</v>
      </c>
      <c r="M19">
        <f>""</f>
        <v>0</v>
      </c>
    </row>
    <row r="20" spans="1:14">
      <c r="A20" t="s">
        <v>60</v>
      </c>
      <c r="B20" t="s">
        <v>61</v>
      </c>
      <c r="C20">
        <v>1</v>
      </c>
      <c r="D20" t="b">
        <v>0</v>
      </c>
      <c r="E20">
        <f>D20</f>
        <v>0</v>
      </c>
      <c r="F20">
        <f>OR(E20,AND(Calcul!$F$21,Calcul!$F$22,Calcul!$F$23))</f>
        <v>0</v>
      </c>
      <c r="G20" t="b">
        <v>0</v>
      </c>
      <c r="I20" t="s">
        <v>22</v>
      </c>
      <c r="J20">
        <v>3</v>
      </c>
      <c r="K20">
        <v>23</v>
      </c>
      <c r="L20">
        <f>Calcul!$I$46</f>
        <v>0</v>
      </c>
      <c r="M20">
        <f>Calcul!$L$46</f>
        <v>0</v>
      </c>
    </row>
    <row r="21" spans="1:14">
      <c r="A21" t="s">
        <v>62</v>
      </c>
      <c r="B21" t="s">
        <v>63</v>
      </c>
      <c r="C21">
        <v>2</v>
      </c>
      <c r="D21" t="b">
        <v>0</v>
      </c>
      <c r="E21">
        <f>OR(D21,Calcul!$E$20)</f>
        <v>0</v>
      </c>
      <c r="F21">
        <f>E21</f>
        <v>0</v>
      </c>
      <c r="G21" t="b">
        <v>0</v>
      </c>
      <c r="H21" t="s">
        <v>60</v>
      </c>
      <c r="J21">
        <v>0</v>
      </c>
      <c r="K21">
        <v>24</v>
      </c>
      <c r="L21">
        <f>Calcul!$I$46</f>
        <v>0</v>
      </c>
      <c r="M21">
        <f>""</f>
        <v>0</v>
      </c>
    </row>
    <row r="22" spans="1:14">
      <c r="A22" t="s">
        <v>64</v>
      </c>
      <c r="B22" t="s">
        <v>65</v>
      </c>
      <c r="C22">
        <v>2</v>
      </c>
      <c r="D22" t="b">
        <v>0</v>
      </c>
      <c r="E22">
        <f>OR(D22,Calcul!$E$20)</f>
        <v>0</v>
      </c>
      <c r="F22">
        <f>E22</f>
        <v>0</v>
      </c>
      <c r="G22" t="b">
        <v>0</v>
      </c>
      <c r="H22" t="s">
        <v>60</v>
      </c>
      <c r="J22">
        <v>1</v>
      </c>
      <c r="K22">
        <v>25</v>
      </c>
      <c r="L22">
        <f>Calcul!$I$46</f>
        <v>0</v>
      </c>
      <c r="M22">
        <f>""</f>
        <v>0</v>
      </c>
    </row>
    <row r="23" spans="1:14">
      <c r="A23" t="s">
        <v>66</v>
      </c>
      <c r="B23" t="s">
        <v>67</v>
      </c>
      <c r="C23">
        <v>2</v>
      </c>
      <c r="D23" t="b">
        <v>0</v>
      </c>
      <c r="E23">
        <f>OR(D23,Calcul!$E$20)</f>
        <v>0</v>
      </c>
      <c r="F23">
        <f>E23</f>
        <v>0</v>
      </c>
      <c r="G23" t="b">
        <v>0</v>
      </c>
      <c r="H23" t="s">
        <v>60</v>
      </c>
      <c r="J23">
        <v>2</v>
      </c>
      <c r="K23">
        <v>26</v>
      </c>
      <c r="L23">
        <f>Calcul!$I$46</f>
        <v>0</v>
      </c>
      <c r="M23">
        <f>""</f>
        <v>0</v>
      </c>
    </row>
    <row r="24" spans="1:14">
      <c r="A24" t="s">
        <v>68</v>
      </c>
      <c r="B24" t="s">
        <v>69</v>
      </c>
      <c r="C24">
        <v>1</v>
      </c>
      <c r="D24" t="b">
        <v>0</v>
      </c>
      <c r="E24">
        <f>D24</f>
        <v>0</v>
      </c>
      <c r="F24">
        <f>OR(E24,AND(Calcul!$F$25,Calcul!$F$26,Calcul!$F$27,Calcul!$F$28))</f>
        <v>0</v>
      </c>
      <c r="G24" t="b">
        <v>0</v>
      </c>
      <c r="I24" t="s">
        <v>22</v>
      </c>
      <c r="J24">
        <v>4</v>
      </c>
      <c r="K24">
        <v>27</v>
      </c>
      <c r="L24">
        <f>Calcul!$I$47</f>
        <v>0</v>
      </c>
      <c r="M24">
        <f>Calcul!$L$47</f>
        <v>0</v>
      </c>
    </row>
    <row r="25" spans="1:14">
      <c r="A25" t="s">
        <v>70</v>
      </c>
      <c r="B25" t="s">
        <v>71</v>
      </c>
      <c r="C25">
        <v>2</v>
      </c>
      <c r="D25" t="b">
        <v>0</v>
      </c>
      <c r="E25">
        <f>OR(D25,Calcul!$E$24)</f>
        <v>0</v>
      </c>
      <c r="F25">
        <f>E25</f>
        <v>0</v>
      </c>
      <c r="G25" t="b">
        <v>0</v>
      </c>
      <c r="H25" t="s">
        <v>68</v>
      </c>
      <c r="J25">
        <v>0</v>
      </c>
      <c r="K25">
        <v>28</v>
      </c>
      <c r="L25">
        <f>Calcul!$I$47</f>
        <v>0</v>
      </c>
      <c r="M25">
        <f>""</f>
        <v>0</v>
      </c>
    </row>
    <row r="26" spans="1:14">
      <c r="A26" t="s">
        <v>72</v>
      </c>
      <c r="B26" t="s">
        <v>73</v>
      </c>
      <c r="C26">
        <v>2</v>
      </c>
      <c r="D26" t="b">
        <v>0</v>
      </c>
      <c r="E26">
        <f>OR(D26,Calcul!$E$24)</f>
        <v>0</v>
      </c>
      <c r="F26">
        <f>E26</f>
        <v>0</v>
      </c>
      <c r="G26" t="b">
        <v>0</v>
      </c>
      <c r="H26" t="s">
        <v>68</v>
      </c>
      <c r="J26">
        <v>1</v>
      </c>
      <c r="K26">
        <v>29</v>
      </c>
      <c r="L26">
        <f>Calcul!$I$47</f>
        <v>0</v>
      </c>
      <c r="M26">
        <f>""</f>
        <v>0</v>
      </c>
    </row>
    <row r="27" spans="1:14">
      <c r="A27" t="s">
        <v>74</v>
      </c>
      <c r="B27" t="s">
        <v>75</v>
      </c>
      <c r="C27">
        <v>2</v>
      </c>
      <c r="D27" t="b">
        <v>0</v>
      </c>
      <c r="E27">
        <f>OR(D27,Calcul!$E$24)</f>
        <v>0</v>
      </c>
      <c r="F27">
        <f>E27</f>
        <v>0</v>
      </c>
      <c r="G27" t="b">
        <v>0</v>
      </c>
      <c r="H27" t="s">
        <v>68</v>
      </c>
      <c r="J27">
        <v>2</v>
      </c>
      <c r="K27">
        <v>30</v>
      </c>
      <c r="L27">
        <f>Calcul!$I$47</f>
        <v>0</v>
      </c>
      <c r="M27">
        <f>""</f>
        <v>0</v>
      </c>
    </row>
    <row r="28" spans="1:14">
      <c r="A28" t="s">
        <v>76</v>
      </c>
      <c r="B28" t="s">
        <v>77</v>
      </c>
      <c r="C28">
        <v>2</v>
      </c>
      <c r="D28" t="b">
        <v>0</v>
      </c>
      <c r="E28">
        <f>OR(D28,Calcul!$E$24)</f>
        <v>0</v>
      </c>
      <c r="F28">
        <f>E28</f>
        <v>0</v>
      </c>
      <c r="G28" t="b">
        <v>0</v>
      </c>
      <c r="H28" t="s">
        <v>68</v>
      </c>
      <c r="J28">
        <v>3</v>
      </c>
      <c r="K28">
        <v>31</v>
      </c>
      <c r="L28">
        <f>Calcul!$I$47</f>
        <v>0</v>
      </c>
      <c r="M28">
        <f>""</f>
        <v>0</v>
      </c>
    </row>
    <row r="29" spans="1:14">
      <c r="A29" t="s">
        <v>78</v>
      </c>
      <c r="B29" t="s">
        <v>79</v>
      </c>
      <c r="C29">
        <v>1</v>
      </c>
      <c r="D29" t="b">
        <v>0</v>
      </c>
      <c r="E29">
        <f>D29</f>
        <v>0</v>
      </c>
      <c r="F29">
        <f>OR(E29,OR(Calcul!$F$30,Calcul!$F$33))</f>
        <v>0</v>
      </c>
      <c r="G29" t="b">
        <v>0</v>
      </c>
      <c r="I29" t="s">
        <v>33</v>
      </c>
      <c r="J29">
        <v>5</v>
      </c>
      <c r="K29">
        <v>32</v>
      </c>
      <c r="L29">
        <f>Calcul!$I$48</f>
        <v>0</v>
      </c>
      <c r="M29">
        <f>Calcul!$L$48</f>
        <v>0</v>
      </c>
    </row>
    <row r="30" spans="1:14">
      <c r="A30" t="s">
        <v>80</v>
      </c>
      <c r="B30" t="s">
        <v>81</v>
      </c>
      <c r="C30">
        <v>2</v>
      </c>
      <c r="D30" t="b">
        <v>0</v>
      </c>
      <c r="E30">
        <f>D30</f>
        <v>0</v>
      </c>
      <c r="F30">
        <f>OR(E30,AND(Calcul!$F$31,Calcul!$F$32))</f>
        <v>0</v>
      </c>
      <c r="G30" t="b">
        <v>0</v>
      </c>
      <c r="H30" t="s">
        <v>78</v>
      </c>
      <c r="I30" t="s">
        <v>22</v>
      </c>
      <c r="J30">
        <v>0</v>
      </c>
      <c r="K30">
        <v>33</v>
      </c>
      <c r="L30">
        <f>Calcul!$I$48</f>
        <v>0</v>
      </c>
      <c r="M30">
        <f>""</f>
        <v>0</v>
      </c>
      <c r="N30" t="s">
        <v>82</v>
      </c>
    </row>
    <row r="31" spans="1:14">
      <c r="A31" t="s">
        <v>83</v>
      </c>
      <c r="B31" t="s">
        <v>84</v>
      </c>
      <c r="C31">
        <v>3</v>
      </c>
      <c r="D31" t="b">
        <v>0</v>
      </c>
      <c r="E31">
        <f>OR(D31,Calcul!$E$30)</f>
        <v>0</v>
      </c>
      <c r="F31">
        <f>E31</f>
        <v>0</v>
      </c>
      <c r="G31" t="b">
        <v>0</v>
      </c>
      <c r="H31" t="s">
        <v>80</v>
      </c>
      <c r="J31">
        <v>0</v>
      </c>
      <c r="K31">
        <v>34</v>
      </c>
      <c r="L31">
        <f>Calcul!$I$48</f>
        <v>0</v>
      </c>
      <c r="M31">
        <f>""</f>
        <v>0</v>
      </c>
    </row>
    <row r="32" spans="1:14">
      <c r="A32" t="s">
        <v>85</v>
      </c>
      <c r="B32" t="s">
        <v>86</v>
      </c>
      <c r="C32">
        <v>3</v>
      </c>
      <c r="D32" t="b">
        <v>0</v>
      </c>
      <c r="E32">
        <f>OR(D32,Calcul!$E$30)</f>
        <v>0</v>
      </c>
      <c r="F32">
        <f>E32</f>
        <v>0</v>
      </c>
      <c r="G32" t="b">
        <v>0</v>
      </c>
      <c r="H32" t="s">
        <v>80</v>
      </c>
      <c r="J32">
        <v>1</v>
      </c>
      <c r="K32">
        <v>35</v>
      </c>
      <c r="L32">
        <f>Calcul!$I$48</f>
        <v>0</v>
      </c>
      <c r="M32">
        <f>""</f>
        <v>0</v>
      </c>
    </row>
    <row r="33" spans="1:18">
      <c r="A33" t="s">
        <v>87</v>
      </c>
      <c r="B33" t="s">
        <v>88</v>
      </c>
      <c r="C33">
        <v>2</v>
      </c>
      <c r="D33" t="b">
        <v>0</v>
      </c>
      <c r="E33">
        <f>D33</f>
        <v>0</v>
      </c>
      <c r="F33">
        <f>OR(E33,AND(Calcul!$F$34,Calcul!$F$35))</f>
        <v>0</v>
      </c>
      <c r="G33" t="b">
        <v>0</v>
      </c>
      <c r="H33" t="s">
        <v>78</v>
      </c>
      <c r="I33" t="s">
        <v>22</v>
      </c>
      <c r="J33">
        <v>1</v>
      </c>
      <c r="K33">
        <v>37</v>
      </c>
      <c r="L33">
        <f>Calcul!$I$48</f>
        <v>0</v>
      </c>
      <c r="M33">
        <f>""</f>
        <v>0</v>
      </c>
      <c r="N33" t="s">
        <v>89</v>
      </c>
    </row>
    <row r="34" spans="1:18">
      <c r="A34" t="s">
        <v>90</v>
      </c>
      <c r="B34" t="s">
        <v>91</v>
      </c>
      <c r="C34">
        <v>3</v>
      </c>
      <c r="D34" t="b">
        <v>0</v>
      </c>
      <c r="E34">
        <f>OR(D34,Calcul!$E$33)</f>
        <v>0</v>
      </c>
      <c r="F34">
        <f>E34</f>
        <v>0</v>
      </c>
      <c r="G34" t="b">
        <v>0</v>
      </c>
      <c r="H34" t="s">
        <v>87</v>
      </c>
      <c r="J34">
        <v>0</v>
      </c>
      <c r="K34">
        <v>38</v>
      </c>
      <c r="L34">
        <f>Calcul!$I$48</f>
        <v>0</v>
      </c>
      <c r="M34">
        <f>""</f>
        <v>0</v>
      </c>
    </row>
    <row r="35" spans="1:18">
      <c r="A35" t="s">
        <v>92</v>
      </c>
      <c r="B35" t="s">
        <v>93</v>
      </c>
      <c r="C35">
        <v>3</v>
      </c>
      <c r="D35" t="b">
        <v>0</v>
      </c>
      <c r="E35">
        <f>OR(D35,Calcul!$E$33)</f>
        <v>0</v>
      </c>
      <c r="F35">
        <f>E35</f>
        <v>0</v>
      </c>
      <c r="G35" t="b">
        <v>0</v>
      </c>
      <c r="H35" t="s">
        <v>87</v>
      </c>
      <c r="J35">
        <v>1</v>
      </c>
      <c r="K35">
        <v>39</v>
      </c>
      <c r="L35">
        <f>Calcul!$I$48</f>
        <v>0</v>
      </c>
      <c r="M35">
        <f>""</f>
        <v>0</v>
      </c>
    </row>
    <row r="36" spans="1:18">
      <c r="A36" t="s">
        <v>94</v>
      </c>
      <c r="B36" t="s">
        <v>95</v>
      </c>
      <c r="C36">
        <v>1</v>
      </c>
      <c r="D36" t="b">
        <v>0</v>
      </c>
      <c r="E36">
        <f>D36</f>
        <v>0</v>
      </c>
      <c r="F36">
        <f>OR(E36,AND(Calcul!$F$37,Calcul!$F$38,Calcul!$F$39))</f>
        <v>0</v>
      </c>
      <c r="G36" t="b">
        <v>0</v>
      </c>
      <c r="I36" t="s">
        <v>22</v>
      </c>
      <c r="J36">
        <v>6</v>
      </c>
      <c r="K36">
        <v>40</v>
      </c>
      <c r="L36">
        <f>Calcul!$I$49</f>
        <v>0</v>
      </c>
      <c r="M36">
        <f>Calcul!$L$49</f>
        <v>0</v>
      </c>
    </row>
    <row r="37" spans="1:18">
      <c r="A37" t="s">
        <v>96</v>
      </c>
      <c r="B37" t="s">
        <v>97</v>
      </c>
      <c r="C37">
        <v>2</v>
      </c>
      <c r="D37" t="b">
        <v>0</v>
      </c>
      <c r="E37">
        <f>OR(D37,Calcul!$E$36)</f>
        <v>0</v>
      </c>
      <c r="F37">
        <f>E37</f>
        <v>0</v>
      </c>
      <c r="G37" t="b">
        <v>0</v>
      </c>
      <c r="H37" t="s">
        <v>94</v>
      </c>
      <c r="J37">
        <v>0</v>
      </c>
      <c r="K37">
        <v>41</v>
      </c>
      <c r="L37">
        <f>Calcul!$I$49</f>
        <v>0</v>
      </c>
      <c r="M37">
        <f>""</f>
        <v>0</v>
      </c>
    </row>
    <row r="38" spans="1:18">
      <c r="A38" t="s">
        <v>98</v>
      </c>
      <c r="B38" t="s">
        <v>99</v>
      </c>
      <c r="C38">
        <v>2</v>
      </c>
      <c r="D38" t="b">
        <v>0</v>
      </c>
      <c r="E38">
        <f>OR(D38,Calcul!$E$36)</f>
        <v>0</v>
      </c>
      <c r="F38">
        <f>E38</f>
        <v>0</v>
      </c>
      <c r="G38" t="b">
        <v>0</v>
      </c>
      <c r="H38" t="s">
        <v>94</v>
      </c>
      <c r="J38">
        <v>1</v>
      </c>
      <c r="K38">
        <v>42</v>
      </c>
      <c r="L38">
        <f>Calcul!$I$49</f>
        <v>0</v>
      </c>
      <c r="M38">
        <f>""</f>
        <v>0</v>
      </c>
    </row>
    <row r="39" spans="1:18">
      <c r="A39" t="s">
        <v>100</v>
      </c>
      <c r="B39" t="s">
        <v>101</v>
      </c>
      <c r="C39">
        <v>2</v>
      </c>
      <c r="D39" t="b">
        <v>0</v>
      </c>
      <c r="E39">
        <f>OR(D39,Calcul!$E$36)</f>
        <v>0</v>
      </c>
      <c r="F39">
        <f>E39</f>
        <v>0</v>
      </c>
      <c r="G39" t="b">
        <v>0</v>
      </c>
      <c r="H39" t="s">
        <v>94</v>
      </c>
      <c r="J39">
        <v>2</v>
      </c>
      <c r="K39">
        <v>43</v>
      </c>
      <c r="L39">
        <f>Calcul!$I$49</f>
        <v>0</v>
      </c>
      <c r="M39">
        <f>""</f>
        <v>0</v>
      </c>
    </row>
    <row r="42" spans="1:18">
      <c r="A42" s="6" t="s">
        <v>102</v>
      </c>
      <c r="B42" s="6" t="s">
        <v>6</v>
      </c>
      <c r="C42" s="6" t="s">
        <v>7</v>
      </c>
      <c r="D42" s="6" t="s">
        <v>11</v>
      </c>
      <c r="E42" s="6" t="s">
        <v>103</v>
      </c>
      <c r="F42" s="6" t="s">
        <v>104</v>
      </c>
      <c r="G42" s="6" t="s">
        <v>105</v>
      </c>
      <c r="H42" s="6" t="s">
        <v>106</v>
      </c>
      <c r="I42" s="6" t="s">
        <v>17</v>
      </c>
      <c r="J42" s="6" t="s">
        <v>107</v>
      </c>
      <c r="K42" s="6" t="s">
        <v>108</v>
      </c>
      <c r="L42" s="6" t="s">
        <v>18</v>
      </c>
      <c r="M42" s="6" t="s">
        <v>109</v>
      </c>
      <c r="N42" s="6" t="s">
        <v>110</v>
      </c>
      <c r="O42" s="6" t="s">
        <v>111</v>
      </c>
      <c r="P42" s="6" t="s">
        <v>112</v>
      </c>
      <c r="Q42" s="6" t="s">
        <v>113</v>
      </c>
      <c r="R42" s="6" t="s">
        <v>114</v>
      </c>
    </row>
    <row r="43" spans="1:18">
      <c r="A43">
        <v>1</v>
      </c>
      <c r="B43" t="s">
        <v>20</v>
      </c>
      <c r="C43" t="s">
        <v>21</v>
      </c>
      <c r="D43">
        <f>Calcul!$F$2</f>
        <v>0</v>
      </c>
      <c r="I43">
        <f>FALSE</f>
        <v>0</v>
      </c>
      <c r="J43">
        <f>FALSE</f>
        <v>0</v>
      </c>
      <c r="K43">
        <f>AND(NOT(I43),D43,NOT(J43))</f>
        <v>0</v>
      </c>
      <c r="L43">
        <f>IF(I43,"none",IF(D43,"ok",IF(TRUE,"run","none")))</f>
        <v>0</v>
      </c>
      <c r="M43">
        <f>IF(I43,"Verrouillée",IF(D43,"Validée",IF(TRUE,"Incomplète","À faire")))</f>
        <v>0</v>
      </c>
      <c r="N43">
        <f>IF(I43,"Pas encore accessible",IF(D43,"Dossier complet",IF(TRUE,"Réception dossier : "&amp;(N(Calcul!$F$3)+N(Calcul!$F$4)+N(Calcul!$F$5)+N(Calcul!$F$6))&amp;"/4","Pas commencée")))</f>
        <v>0</v>
      </c>
      <c r="O43">
        <f>IF(I43,"—",IF(D43,"Recevable",IF(TRUE,"En attente des pièces","—")))</f>
        <v>0</v>
      </c>
      <c r="P43">
        <f>IF(I43,"Valider d'abord l'étape 0 · ",IF(D43,"Passer au contrôle de conformité",IF(TRUE,_xlfn.TEXTJOIN(CHAR(10),TRUE,IF(Calcul!$F$3,"","• "&amp;Calcul!$B$3),IF(Calcul!$F$4,"","• "&amp;Calcul!$B$4),IF(Calcul!$F$5,"","• "&amp;Calcul!$B$5),IF(Calcul!$F$6,"","• "&amp;Calcul!$B$6)),_xlfn.TEXTJOIN(CHAR(10),TRUE,IF(Calcul!$F$3,"","• "&amp;Calcul!$B$3),IF(Calcul!$F$4,"","• "&amp;Calcul!$B$4),IF(Calcul!$F$5,"","• "&amp;Calcul!$B$5),IF(Calcul!$F$6,"","• "&amp;Calcul!$B$6)))))</f>
        <v>0</v>
      </c>
      <c r="Q43">
        <f>IF(I43,"—",IF(D43,"Moi",IF(TRUE,IF(v_cab="","Cabinet conseil",v_cab),IF(v_cab="","Cabinet conseil",v_cab))))</f>
        <v>0</v>
      </c>
      <c r="R43">
        <f>IF(L43="ko","N",IF(K43,"V",IF(AND(1=Calcul!$B$51,L43="run"),"E","A")))</f>
        <v>0</v>
      </c>
    </row>
    <row r="44" spans="1:18">
      <c r="A44">
        <v>2</v>
      </c>
      <c r="B44" t="s">
        <v>31</v>
      </c>
      <c r="C44" t="s">
        <v>32</v>
      </c>
      <c r="D44">
        <f>Calcul!$F$7</f>
        <v>0</v>
      </c>
      <c r="E44">
        <f>Calcul!$F$8</f>
        <v>0</v>
      </c>
      <c r="F44">
        <f>Calcul!$F$12</f>
        <v>0</v>
      </c>
      <c r="G44">
        <f>OR(Calcul!$F$9,Calcul!$F$10,Calcul!$F$11)</f>
        <v>0</v>
      </c>
      <c r="H44">
        <f>OR(Calcul!$F$13,Calcul!$F$14)</f>
        <v>0</v>
      </c>
      <c r="I44">
        <f>NOT(Calcul!$K$43)</f>
        <v>0</v>
      </c>
      <c r="J44">
        <f>AND(NOT(I44),NOT(E44),F44)</f>
        <v>0</v>
      </c>
      <c r="K44">
        <f>AND(NOT(I44),D44,NOT(J44))</f>
        <v>0</v>
      </c>
      <c r="L44">
        <f>IF(I44,"none",IF(E44,"ok",IF(F44,"ko",IF(AND(Calcul!$E$7,NOT(G44),NOT(H44)),"ok",IF(G44,"run",IF(H44,"run","none"))))))</f>
        <v>0</v>
      </c>
      <c r="M44">
        <f>IF(I44,"Verrouillée",IF(E44,"Conforme",IF(F44,"Non conforme",IF(AND(Calcul!$E$7,NOT(G44),NOT(H44)),"Validée",IF(G44,"En cours",IF(H44,"En cours","À contrôler"))))))</f>
        <v>0</v>
      </c>
      <c r="N44">
        <f>IF(I44,"Pas encore accessible",IF(E44,"Conforme",IF(F44,"Non conforme",IF(AND(Calcul!$E$7,NOT(G44),NOT(H44)),"Validée sans précision",IF(G44,"Vers « "&amp;"Conforme"&amp;" »",IF(H44,"Vers « "&amp;"Non conforme"&amp;" »","Pas encore contrôlé"))))))</f>
        <v>0</v>
      </c>
      <c r="O44">
        <f>IF(I44,"—",IF(E44,"Accepté",IF(F44,"Suspendu",IF(AND(Calcul!$E$7,NOT(G44),NOT(H44)),"À préciser",IF(G44,"En cours",IF(H44,"En cours","—"))))))</f>
        <v>0</v>
      </c>
      <c r="P44">
        <f>IF(I44,"Valider d'abord l'étape 1 · Réception dossier",IF(E44,"Lancer l'étude technique",IF(F44,"Attendre les compléments du cabinet",IF(AND(Calcul!$E$7,NOT(G44),NOT(H44)),"Indiquer "&amp;"« "&amp;"Conforme"&amp;" » ou « "&amp;"Non conforme"&amp;" »",IF(G44,_xlfn.TEXTJOIN(CHAR(10),TRUE,IF(Calcul!$F$9,"","• "&amp;Calcul!$B$9),IF(Calcul!$F$10,"","• "&amp;Calcul!$B$10),IF(Calcul!$F$11,"","• "&amp;Calcul!$B$11)),IF(H44,_xlfn.TEXTJOIN(CHAR(10),TRUE,IF(Calcul!$F$13,"","• "&amp;Calcul!$B$13),IF(Calcul!$F$14,"","• "&amp;Calcul!$B$14)),"Choisir "&amp;"« "&amp;"Conforme"&amp;" » ou « "&amp;"Non conforme"&amp;" »"))))))</f>
        <v>0</v>
      </c>
      <c r="Q44">
        <f>IF(I44,"—",IF(E44,"Moi",IF(F44,IF(v_cab="","Cabinet conseil",v_cab),IF(AND(Calcul!$E$7,NOT(G44),NOT(H44)),"Moi",IF(G44,"Moi",IF(H44,"Moi","Moi"))))))</f>
        <v>0</v>
      </c>
      <c r="R44">
        <f>IF(L44="ko","N",IF(K44,"V",IF(AND(2=Calcul!$B$51,L44="run"),"E","A")))</f>
        <v>0</v>
      </c>
    </row>
    <row r="45" spans="1:18">
      <c r="A45">
        <v>3</v>
      </c>
      <c r="B45" t="s">
        <v>50</v>
      </c>
      <c r="C45" t="s">
        <v>51</v>
      </c>
      <c r="D45">
        <f>Calcul!$F$15</f>
        <v>0</v>
      </c>
      <c r="I45">
        <f>NOT(Calcul!$K$44)</f>
        <v>0</v>
      </c>
      <c r="J45">
        <f>FALSE</f>
        <v>0</v>
      </c>
      <c r="K45">
        <f>AND(NOT(I45),D45,NOT(J45))</f>
        <v>0</v>
      </c>
      <c r="L45">
        <f>IF(I45,"none",IF(D45,"ok",IF((N(Calcul!$F$16)+N(Calcul!$F$17)+N(Calcul!$F$18)+N(Calcul!$F$19))&gt;0,"run","none")))</f>
        <v>0</v>
      </c>
      <c r="M45">
        <f>IF(I45,"Verrouillée",IF(D45,"Validée",IF((N(Calcul!$F$16)+N(Calcul!$F$17)+N(Calcul!$F$18)+N(Calcul!$F$19))&gt;0,"En cours","À faire")))</f>
        <v>0</v>
      </c>
      <c r="N45">
        <f>IF(I45,"Pas encore accessible",IF(D45,"Étude terminée",IF((N(Calcul!$F$16)+N(Calcul!$F$17)+N(Calcul!$F$18)+N(Calcul!$F$19))&gt;0,"Étude technique : "&amp;(N(Calcul!$F$16)+N(Calcul!$F$17)+N(Calcul!$F$18)+N(Calcul!$F$19))&amp;"/4","Pas commencée")))</f>
        <v>0</v>
      </c>
      <c r="O45">
        <f>IF(I45,"—",IF(D45,"Faisable",IF((N(Calcul!$F$16)+N(Calcul!$F$17)+N(Calcul!$F$18)+N(Calcul!$F$19))&gt;0,"Étude en cours","—")))</f>
        <v>0</v>
      </c>
      <c r="P45">
        <f>IF(I45,"Valider d'abord l'étape 2 · Conformité",IF(D45,"Planifier l'intervention",IF((N(Calcul!$F$16)+N(Calcul!$F$17)+N(Calcul!$F$18)+N(Calcul!$F$19))&gt;0,_xlfn.TEXTJOIN(CHAR(10),TRUE,IF(Calcul!$F$16,"","• "&amp;Calcul!$B$16),IF(Calcul!$F$17,"","• "&amp;Calcul!$B$17),IF(Calcul!$F$18,"","• "&amp;Calcul!$B$18),IF(Calcul!$F$19,"","• "&amp;Calcul!$B$19)),_xlfn.TEXTJOIN(CHAR(10),TRUE,IF(Calcul!$F$16,"","• "&amp;Calcul!$B$16),IF(Calcul!$F$17,"","• "&amp;Calcul!$B$17),IF(Calcul!$F$18,"","• "&amp;Calcul!$B$18),IF(Calcul!$F$19,"","• "&amp;Calcul!$B$19)))))</f>
        <v>0</v>
      </c>
      <c r="Q45">
        <f>IF(I45,"—",IF(D45,"Moi",IF((N(Calcul!$F$16)+N(Calcul!$F$17)+N(Calcul!$F$18)+N(Calcul!$F$19))&gt;0,"Bureau d'études","Bureau d'études")))</f>
        <v>0</v>
      </c>
      <c r="R45">
        <f>IF(L45="ko","N",IF(K45,"V",IF(AND(3=Calcul!$B$51,L45="run"),"E","A")))</f>
        <v>0</v>
      </c>
    </row>
    <row r="46" spans="1:18">
      <c r="A46">
        <v>4</v>
      </c>
      <c r="B46" t="s">
        <v>60</v>
      </c>
      <c r="C46" t="s">
        <v>61</v>
      </c>
      <c r="D46">
        <f>Calcul!$F$20</f>
        <v>0</v>
      </c>
      <c r="I46">
        <f>NOT(Calcul!$K$45)</f>
        <v>0</v>
      </c>
      <c r="J46">
        <f>FALSE</f>
        <v>0</v>
      </c>
      <c r="K46">
        <f>AND(NOT(I46),D46,NOT(J46))</f>
        <v>0</v>
      </c>
      <c r="L46">
        <f>IF(I46,"none",IF(D46,"ok",IF((N(Calcul!$F$21)+N(Calcul!$F$22)+N(Calcul!$F$23))&gt;0,"run","none")))</f>
        <v>0</v>
      </c>
      <c r="M46">
        <f>IF(I46,"Verrouillée",IF(D46,"Validée",IF((N(Calcul!$F$21)+N(Calcul!$F$22)+N(Calcul!$F$23))&gt;0,"En cours","À faire")))</f>
        <v>0</v>
      </c>
      <c r="N46">
        <f>IF(I46,"Pas encore accessible",IF(D46,"Intervention planifiée",IF((N(Calcul!$F$21)+N(Calcul!$F$22)+N(Calcul!$F$23))&gt;0,"Planification : "&amp;(N(Calcul!$F$21)+N(Calcul!$F$22)+N(Calcul!$F$23))&amp;"/3","Pas commencée")))</f>
        <v>0</v>
      </c>
      <c r="O46">
        <f>IF(I46,"—",IF(D46,"Date confirmée",IF((N(Calcul!$F$21)+N(Calcul!$F$22)+N(Calcul!$F$23))&gt;0,"Rendez-vous à caler","—")))</f>
        <v>0</v>
      </c>
      <c r="P46">
        <f>IF(I46,"Valider d'abord l'étape 3 · Étude technique",IF(D46,"Lancer les travaux",IF((N(Calcul!$F$21)+N(Calcul!$F$22)+N(Calcul!$F$23))&gt;0,_xlfn.TEXTJOIN(CHAR(10),TRUE,IF(Calcul!$F$21,"","• "&amp;Calcul!$B$21),IF(Calcul!$F$22,"","• "&amp;Calcul!$B$22),IF(Calcul!$F$23,"","• "&amp;Calcul!$B$23)),_xlfn.TEXTJOIN(CHAR(10),TRUE,IF(Calcul!$F$21,"","• "&amp;Calcul!$B$21),IF(Calcul!$F$22,"","• "&amp;Calcul!$B$22),IF(Calcul!$F$23,"","• "&amp;Calcul!$B$23)))))</f>
        <v>0</v>
      </c>
      <c r="Q46">
        <f>IF(I46,"—",IF(D46,"Moi",IF((N(Calcul!$F$21)+N(Calcul!$F$22)+N(Calcul!$F$23))&gt;0,"Moi","Moi")))</f>
        <v>0</v>
      </c>
      <c r="R46">
        <f>IF(L46="ko","N",IF(K46,"V",IF(AND(4=Calcul!$B$51,L46="run"),"E","A")))</f>
        <v>0</v>
      </c>
    </row>
    <row r="47" spans="1:18">
      <c r="A47">
        <v>5</v>
      </c>
      <c r="B47" t="s">
        <v>68</v>
      </c>
      <c r="C47" t="s">
        <v>69</v>
      </c>
      <c r="D47">
        <f>Calcul!$F$24</f>
        <v>0</v>
      </c>
      <c r="I47">
        <f>NOT(Calcul!$K$46)</f>
        <v>0</v>
      </c>
      <c r="J47">
        <f>FALSE</f>
        <v>0</v>
      </c>
      <c r="K47">
        <f>AND(NOT(I47),D47,NOT(J47))</f>
        <v>0</v>
      </c>
      <c r="L47">
        <f>IF(I47,"none",IF(D47,"ok",IF((N(Calcul!$F$25)+N(Calcul!$F$26)+N(Calcul!$F$27)+N(Calcul!$F$28))&gt;0,"run","none")))</f>
        <v>0</v>
      </c>
      <c r="M47">
        <f>IF(I47,"Verrouillée",IF(D47,"Validée",IF((N(Calcul!$F$25)+N(Calcul!$F$26)+N(Calcul!$F$27)+N(Calcul!$F$28))&gt;0,"En cours","À faire")))</f>
        <v>0</v>
      </c>
      <c r="N47">
        <f>IF(I47,"Pas encore accessible",IF(D47,"Travaux terminés",IF((N(Calcul!$F$25)+N(Calcul!$F$26)+N(Calcul!$F$27)+N(Calcul!$F$28))&gt;0,"Travaux : "&amp;(N(Calcul!$F$25)+N(Calcul!$F$26)+N(Calcul!$F$27)+N(Calcul!$F$28))&amp;"/4","Pas commencée")))</f>
        <v>0</v>
      </c>
      <c r="O47">
        <f>IF(I47,"—",IF(D47,"Prêt pour la recette",IF((N(Calcul!$F$25)+N(Calcul!$F$26)+N(Calcul!$F$27)+N(Calcul!$F$28))&gt;0,"Chantier en cours","—")))</f>
        <v>0</v>
      </c>
      <c r="P47">
        <f>IF(I47,"Valider d'abord l'étape 4 · Planification",IF(D47,"Faire la recette",IF((N(Calcul!$F$25)+N(Calcul!$F$26)+N(Calcul!$F$27)+N(Calcul!$F$28))&gt;0,_xlfn.TEXTJOIN(CHAR(10),TRUE,IF(Calcul!$F$25,"","• "&amp;Calcul!$B$25),IF(Calcul!$F$26,"","• "&amp;Calcul!$B$26),IF(Calcul!$F$27,"","• "&amp;Calcul!$B$27),IF(Calcul!$F$28,"","• "&amp;Calcul!$B$28)),_xlfn.TEXTJOIN(CHAR(10),TRUE,IF(Calcul!$F$25,"","• "&amp;Calcul!$B$25),IF(Calcul!$F$26,"","• "&amp;Calcul!$B$26),IF(Calcul!$F$27,"","• "&amp;Calcul!$B$27),IF(Calcul!$F$28,"","• "&amp;Calcul!$B$28)))))</f>
        <v>0</v>
      </c>
      <c r="Q47">
        <f>IF(I47,"—",IF(D47,"Moi",IF((N(Calcul!$F$25)+N(Calcul!$F$26)+N(Calcul!$F$27)+N(Calcul!$F$28))&gt;0,"Sous-traitant","Sous-traitant")))</f>
        <v>0</v>
      </c>
      <c r="R47">
        <f>IF(L47="ko","N",IF(K47,"V",IF(AND(5=Calcul!$B$51,L47="run"),"E","A")))</f>
        <v>0</v>
      </c>
    </row>
    <row r="48" spans="1:18">
      <c r="A48">
        <v>6</v>
      </c>
      <c r="B48" t="s">
        <v>78</v>
      </c>
      <c r="C48" t="s">
        <v>79</v>
      </c>
      <c r="D48">
        <f>Calcul!$F$29</f>
        <v>0</v>
      </c>
      <c r="E48">
        <f>Calcul!$F$30</f>
        <v>0</v>
      </c>
      <c r="F48">
        <f>Calcul!$F$33</f>
        <v>0</v>
      </c>
      <c r="G48">
        <f>OR(Calcul!$F$31,Calcul!$F$32)</f>
        <v>0</v>
      </c>
      <c r="H48">
        <f>OR(Calcul!$F$34,Calcul!$F$35)</f>
        <v>0</v>
      </c>
      <c r="I48">
        <f>NOT(Calcul!$K$47)</f>
        <v>0</v>
      </c>
      <c r="J48">
        <f>AND(NOT(I48),NOT(E48),F48)</f>
        <v>0</v>
      </c>
      <c r="K48">
        <f>AND(NOT(I48),D48,NOT(J48))</f>
        <v>0</v>
      </c>
      <c r="L48">
        <f>IF(I48,"none",IF(E48,"ok",IF(F48,"ko",IF(AND(Calcul!$E$29,NOT(G48),NOT(H48)),"ok",IF(G48,"run",IF(H48,"run","none"))))))</f>
        <v>0</v>
      </c>
      <c r="M48">
        <f>IF(I48,"Verrouillée",IF(E48,"Recette conforme",IF(F48,"Réserves",IF(AND(Calcul!$E$29,NOT(G48),NOT(H48)),"Validée",IF(G48,"En cours",IF(H48,"En cours","À contrôler"))))))</f>
        <v>0</v>
      </c>
      <c r="N48">
        <f>IF(I48,"Pas encore accessible",IF(E48,"Recette conforme",IF(F48,"Réserves",IF(AND(Calcul!$E$29,NOT(G48),NOT(H48)),"Validée sans précision",IF(G48,"Vers « "&amp;"Recette conforme"&amp;" »",IF(H48,"Vers « "&amp;"Réserves"&amp;" »","Pas encore contrôlé"))))))</f>
        <v>0</v>
      </c>
      <c r="O48">
        <f>IF(I48,"—",IF(E48,"Accepté",IF(F48,"Suspendu",IF(AND(Calcul!$E$29,NOT(G48),NOT(H48)),"À préciser",IF(G48,"En cours",IF(H48,"En cours","—"))))))</f>
        <v>0</v>
      </c>
      <c r="P48">
        <f>IF(I48,"Valider d'abord l'étape 5 · Travaux",IF(E48,"Mettre en service",IF(F48,"Faire lever les réserves",IF(AND(Calcul!$E$29,NOT(G48),NOT(H48)),"Indiquer "&amp;"« "&amp;"Recette conforme"&amp;" » ou « "&amp;"Réserves"&amp;" »",IF(G48,_xlfn.TEXTJOIN(CHAR(10),TRUE,IF(Calcul!$F$31,"","• "&amp;Calcul!$B$31),IF(Calcul!$F$32,"","• "&amp;Calcul!$B$32)),IF(H48,_xlfn.TEXTJOIN(CHAR(10),TRUE,IF(Calcul!$F$34,"","• "&amp;Calcul!$B$34),IF(Calcul!$F$35,"","• "&amp;Calcul!$B$35)),"Choisir "&amp;"« "&amp;"Recette conforme"&amp;" » ou « "&amp;"Réserves"&amp;" »"))))))</f>
        <v>0</v>
      </c>
      <c r="Q48">
        <f>IF(I48,"—",IF(E48,"Moi",IF(F48,"Sous-traitant",IF(AND(Calcul!$E$29,NOT(G48),NOT(H48)),"Moi",IF(G48,"Moi",IF(H48,"Moi","Moi"))))))</f>
        <v>0</v>
      </c>
      <c r="R48">
        <f>IF(L48="ko","N",IF(K48,"V",IF(AND(6=Calcul!$B$51,L48="run"),"E","A")))</f>
        <v>0</v>
      </c>
    </row>
    <row r="49" spans="1:18">
      <c r="A49">
        <v>7</v>
      </c>
      <c r="B49" t="s">
        <v>94</v>
      </c>
      <c r="C49" t="s">
        <v>95</v>
      </c>
      <c r="D49">
        <f>Calcul!$F$36</f>
        <v>0</v>
      </c>
      <c r="I49">
        <f>NOT(Calcul!$K$48)</f>
        <v>0</v>
      </c>
      <c r="J49">
        <f>FALSE</f>
        <v>0</v>
      </c>
      <c r="K49">
        <f>AND(NOT(I49),D49,NOT(J49))</f>
        <v>0</v>
      </c>
      <c r="L49">
        <f>IF(I49,"none",IF(D49,"ok",IF((N(Calcul!$F$37)+N(Calcul!$F$38)+N(Calcul!$F$39))&gt;0,"run","none")))</f>
        <v>0</v>
      </c>
      <c r="M49">
        <f>IF(I49,"Verrouillée",IF(D49,"Validée",IF((N(Calcul!$F$37)+N(Calcul!$F$38)+N(Calcul!$F$39))&gt;0,"En cours","À faire")))</f>
        <v>0</v>
      </c>
      <c r="N49">
        <f>IF(I49,"Pas encore accessible",IF(D49,"Immeuble raccordé",IF((N(Calcul!$F$37)+N(Calcul!$F$38)+N(Calcul!$F$39))&gt;0,"Mise en service : "&amp;(N(Calcul!$F$37)+N(Calcul!$F$38)+N(Calcul!$F$39))&amp;"/3","Pas commencée")))</f>
        <v>0</v>
      </c>
      <c r="O49">
        <f>IF(I49,"—",IF(D49,"Dossier clos",IF((N(Calcul!$F$37)+N(Calcul!$F$38)+N(Calcul!$F$39))&gt;0,"Clôture en cours","—")))</f>
        <v>0</v>
      </c>
      <c r="P49">
        <f>IF(I49,"Valider d'abord l'étape 6 · Recette",IF(D49,"Archiver le dossier",IF((N(Calcul!$F$37)+N(Calcul!$F$38)+N(Calcul!$F$39))&gt;0,_xlfn.TEXTJOIN(CHAR(10),TRUE,IF(Calcul!$F$37,"","• "&amp;Calcul!$B$37),IF(Calcul!$F$38,"","• "&amp;Calcul!$B$38),IF(Calcul!$F$39,"","• "&amp;Calcul!$B$39)),_xlfn.TEXTJOIN(CHAR(10),TRUE,IF(Calcul!$F$37,"","• "&amp;Calcul!$B$37),IF(Calcul!$F$38,"","• "&amp;Calcul!$B$38),IF(Calcul!$F$39,"","• "&amp;Calcul!$B$39)))))</f>
        <v>0</v>
      </c>
      <c r="Q49">
        <f>IF(I49,"—",IF(D49,"Moi",IF((N(Calcul!$F$37)+N(Calcul!$F$38)+N(Calcul!$F$39))&gt;0,"Moi","Moi")))</f>
        <v>0</v>
      </c>
      <c r="R49">
        <f>IF(L49="ko","N",IF(K49,"V",IF(AND(7=Calcul!$B$51,L49="run"),"E","A")))</f>
        <v>0</v>
      </c>
    </row>
    <row r="51" spans="1:18">
      <c r="A51" t="s">
        <v>115</v>
      </c>
      <c r="B51">
        <f>IFERROR(MATCH(FALSE,Calcul!$K$43:$K$49,0),0)</f>
        <v>0</v>
      </c>
    </row>
    <row r="52" spans="1:18">
      <c r="A52" t="s">
        <v>116</v>
      </c>
      <c r="B52">
        <f>IF(ISNUMBER(etapeChoisie),etapeChoisie,IF(Calcul!$B$51=0,7,Calcul!$B$51))</f>
        <v>0</v>
      </c>
    </row>
    <row r="53" spans="1:18">
      <c r="A53" t="s">
        <v>117</v>
      </c>
      <c r="B53" t="s">
        <v>118</v>
      </c>
    </row>
    <row r="54" spans="1:18">
      <c r="A54" t="s">
        <v>119</v>
      </c>
    </row>
    <row r="55" spans="1:18">
      <c r="A55" t="s">
        <v>120</v>
      </c>
    </row>
    <row r="57" spans="1:18">
      <c r="A57" s="6" t="s">
        <v>121</v>
      </c>
    </row>
    <row r="58" spans="1:18">
      <c r="A58" t="s">
        <v>122</v>
      </c>
      <c r="B58">
        <f>Calcul!$R$43&amp;Calcul!$R$44&amp;Calcul!$R$45&amp;Calcul!$R$46&amp;Calcul!$R$47&amp;Calcul!$R$48&amp;Calcul!$R$49&amp;MID('Paramètres'!$D$2,1+16*N(Calcul!$F$3)+8*N(Calcul!$F$4)+4*N(Calcul!$F$5)+2*N(Calcul!$F$6)+1*N(Calcul!$F$9),1)&amp;MID('Paramètres'!$D$2,1+16*N(Calcul!$F$10)+8*N(Calcul!$F$11)+4*N(Calcul!$F$13)+2*N(Calcul!$F$14)+1*N(Calcul!$F$16),1)&amp;MID('Paramètres'!$D$2,1+16*N(Calcul!$F$17)+8*N(Calcul!$F$18)+4*N(Calcul!$F$19)+2*N(Calcul!$F$21)+1*N(Calcul!$F$22),1)&amp;MID('Paramètres'!$D$2,1+16*N(Calcul!$F$23)+8*N(Calcul!$F$25)+4*N(Calcul!$F$26)+2*N(Calcul!$F$27)+1*N(Calcul!$F$28),1)&amp;MID('Paramètres'!$D$2,1+16*N(Calcul!$F$31)+8*N(Calcul!$F$32)+4*N(Calcul!$F$34)+2*N(Calcul!$F$35)+1*N(Calcul!$F$37),1)&amp;MID('Paramètres'!$D$2,1+16*N(Calcul!$F$38)+8*N(Calcul!$F$39),1)&amp;MID('Paramètres'!$D$2,1+0,1)&amp;MID('Paramètres'!$D$2,1+0,1)&amp;MID('Paramètres'!$D$2,1+0,1)&amp;MID('Paramètres'!$D$2,1+0,1)&amp;MID('Paramètres'!$D$2,1+0,1)&amp;MID('Paramètres'!$D$2,1+0,1)&amp;MID('Paramètres'!$D$2,1+0,1)&amp;MID('Paramètres'!$D$2,1+0,1)</f>
        <v>0</v>
      </c>
    </row>
    <row r="59" spans="1:18">
      <c r="A59" t="s">
        <v>123</v>
      </c>
      <c r="B59" t="s">
        <v>124</v>
      </c>
      <c r="C59" t="s">
        <v>125</v>
      </c>
    </row>
    <row r="60" spans="1:18">
      <c r="A60">
        <v>1</v>
      </c>
      <c r="B60">
        <f>_xlfn.UNICODE(MID(Calcul!$B$58,1,1))</f>
        <v>0</v>
      </c>
      <c r="C60">
        <f>MOD(MOD(_xlfn.BITXOR(2166136261,B60),256)*16777216+_xlfn.BITXOR(2166136261,B60)*403,4294967296)</f>
        <v>0</v>
      </c>
    </row>
    <row r="61" spans="1:18">
      <c r="A61">
        <v>2</v>
      </c>
      <c r="B61">
        <f>_xlfn.UNICODE(MID(Calcul!$B$58,2,1))</f>
        <v>0</v>
      </c>
      <c r="C61">
        <f>MOD(MOD(_xlfn.BITXOR(C60,B61),256)*16777216+_xlfn.BITXOR(C60,B61)*403,4294967296)</f>
        <v>0</v>
      </c>
    </row>
    <row r="62" spans="1:18">
      <c r="A62">
        <v>3</v>
      </c>
      <c r="B62">
        <f>_xlfn.UNICODE(MID(Calcul!$B$58,3,1))</f>
        <v>0</v>
      </c>
      <c r="C62">
        <f>MOD(MOD(_xlfn.BITXOR(C61,B62),256)*16777216+_xlfn.BITXOR(C61,B62)*403,4294967296)</f>
        <v>0</v>
      </c>
    </row>
    <row r="63" spans="1:18">
      <c r="A63">
        <v>4</v>
      </c>
      <c r="B63">
        <f>_xlfn.UNICODE(MID(Calcul!$B$58,4,1))</f>
        <v>0</v>
      </c>
      <c r="C63">
        <f>MOD(MOD(_xlfn.BITXOR(C62,B63),256)*16777216+_xlfn.BITXOR(C62,B63)*403,4294967296)</f>
        <v>0</v>
      </c>
    </row>
    <row r="64" spans="1:18">
      <c r="A64">
        <v>5</v>
      </c>
      <c r="B64">
        <f>_xlfn.UNICODE(MID(Calcul!$B$58,5,1))</f>
        <v>0</v>
      </c>
      <c r="C64">
        <f>MOD(MOD(_xlfn.BITXOR(C63,B64),256)*16777216+_xlfn.BITXOR(C63,B64)*403,4294967296)</f>
        <v>0</v>
      </c>
    </row>
    <row r="65" spans="1:3">
      <c r="A65">
        <v>6</v>
      </c>
      <c r="B65">
        <f>_xlfn.UNICODE(MID(Calcul!$B$58,6,1))</f>
        <v>0</v>
      </c>
      <c r="C65">
        <f>MOD(MOD(_xlfn.BITXOR(C64,B65),256)*16777216+_xlfn.BITXOR(C64,B65)*403,4294967296)</f>
        <v>0</v>
      </c>
    </row>
    <row r="66" spans="1:3">
      <c r="A66">
        <v>7</v>
      </c>
      <c r="B66">
        <f>_xlfn.UNICODE(MID(Calcul!$B$58,7,1))</f>
        <v>0</v>
      </c>
      <c r="C66">
        <f>MOD(MOD(_xlfn.BITXOR(C65,B66),256)*16777216+_xlfn.BITXOR(C65,B66)*403,4294967296)</f>
        <v>0</v>
      </c>
    </row>
    <row r="67" spans="1:3">
      <c r="A67">
        <v>8</v>
      </c>
      <c r="B67">
        <f>_xlfn.UNICODE(MID(Calcul!$B$58,8,1))</f>
        <v>0</v>
      </c>
      <c r="C67">
        <f>MOD(MOD(_xlfn.BITXOR(C66,B67),256)*16777216+_xlfn.BITXOR(C66,B67)*403,4294967296)</f>
        <v>0</v>
      </c>
    </row>
    <row r="68" spans="1:3">
      <c r="A68">
        <v>9</v>
      </c>
      <c r="B68">
        <f>_xlfn.UNICODE(MID(Calcul!$B$58,9,1))</f>
        <v>0</v>
      </c>
      <c r="C68">
        <f>MOD(MOD(_xlfn.BITXOR(C67,B68),256)*16777216+_xlfn.BITXOR(C67,B68)*403,4294967296)</f>
        <v>0</v>
      </c>
    </row>
    <row r="69" spans="1:3">
      <c r="A69">
        <v>10</v>
      </c>
      <c r="B69">
        <f>_xlfn.UNICODE(MID(Calcul!$B$58,10,1))</f>
        <v>0</v>
      </c>
      <c r="C69">
        <f>MOD(MOD(_xlfn.BITXOR(C68,B69),256)*16777216+_xlfn.BITXOR(C68,B69)*403,4294967296)</f>
        <v>0</v>
      </c>
    </row>
    <row r="70" spans="1:3">
      <c r="A70">
        <v>11</v>
      </c>
      <c r="B70">
        <f>_xlfn.UNICODE(MID(Calcul!$B$58,11,1))</f>
        <v>0</v>
      </c>
      <c r="C70">
        <f>MOD(MOD(_xlfn.BITXOR(C69,B70),256)*16777216+_xlfn.BITXOR(C69,B70)*403,4294967296)</f>
        <v>0</v>
      </c>
    </row>
    <row r="71" spans="1:3">
      <c r="A71">
        <v>12</v>
      </c>
      <c r="B71">
        <f>_xlfn.UNICODE(MID(Calcul!$B$58,12,1))</f>
        <v>0</v>
      </c>
      <c r="C71">
        <f>MOD(MOD(_xlfn.BITXOR(C70,B71),256)*16777216+_xlfn.BITXOR(C70,B71)*403,4294967296)</f>
        <v>0</v>
      </c>
    </row>
    <row r="72" spans="1:3">
      <c r="A72">
        <v>13</v>
      </c>
      <c r="B72">
        <f>_xlfn.UNICODE(MID(Calcul!$B$58,13,1))</f>
        <v>0</v>
      </c>
      <c r="C72">
        <f>MOD(MOD(_xlfn.BITXOR(C71,B72),256)*16777216+_xlfn.BITXOR(C71,B72)*403,4294967296)</f>
        <v>0</v>
      </c>
    </row>
    <row r="73" spans="1:3">
      <c r="A73">
        <v>14</v>
      </c>
      <c r="B73">
        <f>_xlfn.UNICODE(MID(Calcul!$B$58,14,1))</f>
        <v>0</v>
      </c>
      <c r="C73">
        <f>MOD(MOD(_xlfn.BITXOR(C72,B73),256)*16777216+_xlfn.BITXOR(C72,B73)*403,4294967296)</f>
        <v>0</v>
      </c>
    </row>
    <row r="74" spans="1:3">
      <c r="A74">
        <v>15</v>
      </c>
      <c r="B74">
        <f>_xlfn.UNICODE(MID(Calcul!$B$58,15,1))</f>
        <v>0</v>
      </c>
      <c r="C74">
        <f>MOD(MOD(_xlfn.BITXOR(C73,B74),256)*16777216+_xlfn.BITXOR(C73,B74)*403,4294967296)</f>
        <v>0</v>
      </c>
    </row>
    <row r="75" spans="1:3">
      <c r="A75">
        <v>16</v>
      </c>
      <c r="B75">
        <f>_xlfn.UNICODE(MID(Calcul!$B$58,16,1))</f>
        <v>0</v>
      </c>
      <c r="C75">
        <f>MOD(MOD(_xlfn.BITXOR(C74,B75),256)*16777216+_xlfn.BITXOR(C74,B75)*403,4294967296)</f>
        <v>0</v>
      </c>
    </row>
    <row r="76" spans="1:3">
      <c r="A76">
        <v>17</v>
      </c>
      <c r="B76">
        <f>_xlfn.UNICODE(MID(Calcul!$B$58,17,1))</f>
        <v>0</v>
      </c>
      <c r="C76">
        <f>MOD(MOD(_xlfn.BITXOR(C75,B76),256)*16777216+_xlfn.BITXOR(C75,B76)*403,4294967296)</f>
        <v>0</v>
      </c>
    </row>
    <row r="77" spans="1:3">
      <c r="A77">
        <v>18</v>
      </c>
      <c r="B77">
        <f>_xlfn.UNICODE(MID(Calcul!$B$58,18,1))</f>
        <v>0</v>
      </c>
      <c r="C77">
        <f>MOD(MOD(_xlfn.BITXOR(C76,B77),256)*16777216+_xlfn.BITXOR(C76,B77)*403,4294967296)</f>
        <v>0</v>
      </c>
    </row>
    <row r="78" spans="1:3">
      <c r="A78">
        <v>19</v>
      </c>
      <c r="B78">
        <f>_xlfn.UNICODE(MID(Calcul!$B$58,19,1))</f>
        <v>0</v>
      </c>
      <c r="C78">
        <f>MOD(MOD(_xlfn.BITXOR(C77,B78),256)*16777216+_xlfn.BITXOR(C77,B78)*403,4294967296)</f>
        <v>0</v>
      </c>
    </row>
    <row r="79" spans="1:3">
      <c r="A79">
        <v>20</v>
      </c>
      <c r="B79">
        <f>_xlfn.UNICODE(MID(Calcul!$B$58,20,1))</f>
        <v>0</v>
      </c>
      <c r="C79">
        <f>MOD(MOD(_xlfn.BITXOR(C78,B79),256)*16777216+_xlfn.BITXOR(C78,B79)*403,4294967296)</f>
        <v>0</v>
      </c>
    </row>
    <row r="80" spans="1:3">
      <c r="A80">
        <v>21</v>
      </c>
      <c r="B80">
        <f>_xlfn.UNICODE(MID(Calcul!$B$58,21,1))</f>
        <v>0</v>
      </c>
      <c r="C80">
        <f>MOD(MOD(_xlfn.BITXOR(C79,B80),256)*16777216+_xlfn.BITXOR(C79,B80)*403,4294967296)</f>
        <v>0</v>
      </c>
    </row>
    <row r="82" spans="1:3">
      <c r="A82" t="s">
        <v>126</v>
      </c>
      <c r="B82">
        <f>Calcul!$B$58&amp;MID('Paramètres'!$D$2,MOD(INT(C80/1),32)+1,1)&amp;MID('Paramètres'!$D$2,MOD(INT(C80/32),32)+1,1)&amp;MID('Paramètres'!$D$2,MOD(INT(C80/1024),32)+1,1)&amp;MID('Paramètres'!$D$2,MOD(INT(C80/32768),32)+1,1)</f>
        <v>0</v>
      </c>
    </row>
    <row r="85" spans="1:3">
      <c r="A85" s="6" t="s">
        <v>127</v>
      </c>
    </row>
    <row r="86" spans="1:3">
      <c r="A86" t="s">
        <v>128</v>
      </c>
      <c r="B86">
        <f>"ape"&amp;Calcul!$B$82&amp;0</f>
        <v>0</v>
      </c>
    </row>
    <row r="87" spans="1:3">
      <c r="B87">
        <f>_xlfn.UNICODE(MID($B$86,1,1))</f>
        <v>0</v>
      </c>
      <c r="C87">
        <f>MOD(MOD(_xlfn.BITXOR(2166136261,B87),256)*16777216+_xlfn.BITXOR(2166136261,B87)*403,4294967296)</f>
        <v>0</v>
      </c>
    </row>
    <row r="88" spans="1:3">
      <c r="B88">
        <f>_xlfn.UNICODE(MID($B$86,2,1))</f>
        <v>0</v>
      </c>
      <c r="C88">
        <f>MOD(MOD(_xlfn.BITXOR(C87,B88),256)*16777216+_xlfn.BITXOR(C87,B88)*403,4294967296)</f>
        <v>0</v>
      </c>
    </row>
    <row r="89" spans="1:3">
      <c r="B89">
        <f>_xlfn.UNICODE(MID($B$86,3,1))</f>
        <v>0</v>
      </c>
      <c r="C89">
        <f>MOD(MOD(_xlfn.BITXOR(C88,B89),256)*16777216+_xlfn.BITXOR(C88,B89)*403,4294967296)</f>
        <v>0</v>
      </c>
    </row>
    <row r="90" spans="1:3">
      <c r="B90">
        <f>_xlfn.UNICODE(MID($B$86,4,1))</f>
        <v>0</v>
      </c>
      <c r="C90">
        <f>MOD(MOD(_xlfn.BITXOR(C89,B90),256)*16777216+_xlfn.BITXOR(C89,B90)*403,4294967296)</f>
        <v>0</v>
      </c>
    </row>
    <row r="91" spans="1:3">
      <c r="B91">
        <f>_xlfn.UNICODE(MID($B$86,5,1))</f>
        <v>0</v>
      </c>
      <c r="C91">
        <f>MOD(MOD(_xlfn.BITXOR(C90,B91),256)*16777216+_xlfn.BITXOR(C90,B91)*403,4294967296)</f>
        <v>0</v>
      </c>
    </row>
    <row r="92" spans="1:3">
      <c r="B92">
        <f>_xlfn.UNICODE(MID($B$86,6,1))</f>
        <v>0</v>
      </c>
      <c r="C92">
        <f>MOD(MOD(_xlfn.BITXOR(C91,B92),256)*16777216+_xlfn.BITXOR(C91,B92)*403,4294967296)</f>
        <v>0</v>
      </c>
    </row>
    <row r="93" spans="1:3">
      <c r="B93">
        <f>_xlfn.UNICODE(MID($B$86,7,1))</f>
        <v>0</v>
      </c>
      <c r="C93">
        <f>MOD(MOD(_xlfn.BITXOR(C92,B93),256)*16777216+_xlfn.BITXOR(C92,B93)*403,4294967296)</f>
        <v>0</v>
      </c>
    </row>
    <row r="94" spans="1:3">
      <c r="B94">
        <f>_xlfn.UNICODE(MID($B$86,8,1))</f>
        <v>0</v>
      </c>
      <c r="C94">
        <f>MOD(MOD(_xlfn.BITXOR(C93,B94),256)*16777216+_xlfn.BITXOR(C93,B94)*403,4294967296)</f>
        <v>0</v>
      </c>
    </row>
    <row r="95" spans="1:3">
      <c r="B95">
        <f>_xlfn.UNICODE(MID($B$86,9,1))</f>
        <v>0</v>
      </c>
      <c r="C95">
        <f>MOD(MOD(_xlfn.BITXOR(C94,B95),256)*16777216+_xlfn.BITXOR(C94,B95)*403,4294967296)</f>
        <v>0</v>
      </c>
    </row>
    <row r="96" spans="1:3">
      <c r="B96">
        <f>_xlfn.UNICODE(MID($B$86,10,1))</f>
        <v>0</v>
      </c>
      <c r="C96">
        <f>MOD(MOD(_xlfn.BITXOR(C95,B96),256)*16777216+_xlfn.BITXOR(C95,B96)*403,4294967296)</f>
        <v>0</v>
      </c>
    </row>
    <row r="97" spans="2:3">
      <c r="B97">
        <f>_xlfn.UNICODE(MID($B$86,11,1))</f>
        <v>0</v>
      </c>
      <c r="C97">
        <f>MOD(MOD(_xlfn.BITXOR(C96,B97),256)*16777216+_xlfn.BITXOR(C96,B97)*403,4294967296)</f>
        <v>0</v>
      </c>
    </row>
    <row r="98" spans="2:3">
      <c r="B98">
        <f>_xlfn.UNICODE(MID($B$86,12,1))</f>
        <v>0</v>
      </c>
      <c r="C98">
        <f>MOD(MOD(_xlfn.BITXOR(C97,B98),256)*16777216+_xlfn.BITXOR(C97,B98)*403,4294967296)</f>
        <v>0</v>
      </c>
    </row>
    <row r="99" spans="2:3">
      <c r="B99">
        <f>_xlfn.UNICODE(MID($B$86,13,1))</f>
        <v>0</v>
      </c>
      <c r="C99">
        <f>MOD(MOD(_xlfn.BITXOR(C98,B99),256)*16777216+_xlfn.BITXOR(C98,B99)*403,4294967296)</f>
        <v>0</v>
      </c>
    </row>
    <row r="100" spans="2:3">
      <c r="B100">
        <f>_xlfn.UNICODE(MID($B$86,14,1))</f>
        <v>0</v>
      </c>
      <c r="C100">
        <f>MOD(MOD(_xlfn.BITXOR(C99,B100),256)*16777216+_xlfn.BITXOR(C99,B100)*403,4294967296)</f>
        <v>0</v>
      </c>
    </row>
    <row r="101" spans="2:3">
      <c r="B101">
        <f>_xlfn.UNICODE(MID($B$86,15,1))</f>
        <v>0</v>
      </c>
      <c r="C101">
        <f>MOD(MOD(_xlfn.BITXOR(C100,B101),256)*16777216+_xlfn.BITXOR(C100,B101)*403,4294967296)</f>
        <v>0</v>
      </c>
    </row>
    <row r="102" spans="2:3">
      <c r="B102">
        <f>_xlfn.UNICODE(MID($B$86,16,1))</f>
        <v>0</v>
      </c>
      <c r="C102">
        <f>MOD(MOD(_xlfn.BITXOR(C101,B102),256)*16777216+_xlfn.BITXOR(C101,B102)*403,4294967296)</f>
        <v>0</v>
      </c>
    </row>
    <row r="103" spans="2:3">
      <c r="B103">
        <f>_xlfn.UNICODE(MID($B$86,17,1))</f>
        <v>0</v>
      </c>
      <c r="C103">
        <f>MOD(MOD(_xlfn.BITXOR(C102,B103),256)*16777216+_xlfn.BITXOR(C102,B103)*403,4294967296)</f>
        <v>0</v>
      </c>
    </row>
    <row r="104" spans="2:3">
      <c r="B104">
        <f>_xlfn.UNICODE(MID($B$86,18,1))</f>
        <v>0</v>
      </c>
      <c r="C104">
        <f>MOD(MOD(_xlfn.BITXOR(C103,B104),256)*16777216+_xlfn.BITXOR(C103,B104)*403,4294967296)</f>
        <v>0</v>
      </c>
    </row>
    <row r="105" spans="2:3">
      <c r="B105">
        <f>_xlfn.UNICODE(MID($B$86,19,1))</f>
        <v>0</v>
      </c>
      <c r="C105">
        <f>MOD(MOD(_xlfn.BITXOR(C104,B105),256)*16777216+_xlfn.BITXOR(C104,B105)*403,4294967296)</f>
        <v>0</v>
      </c>
    </row>
    <row r="106" spans="2:3">
      <c r="B106">
        <f>_xlfn.UNICODE(MID($B$86,20,1))</f>
        <v>0</v>
      </c>
      <c r="C106">
        <f>MOD(MOD(_xlfn.BITXOR(C105,B106),256)*16777216+_xlfn.BITXOR(C105,B106)*403,4294967296)</f>
        <v>0</v>
      </c>
    </row>
    <row r="107" spans="2:3">
      <c r="B107">
        <f>_xlfn.UNICODE(MID($B$86,21,1))</f>
        <v>0</v>
      </c>
      <c r="C107">
        <f>MOD(MOD(_xlfn.BITXOR(C106,B107),256)*16777216+_xlfn.BITXOR(C106,B107)*403,4294967296)</f>
        <v>0</v>
      </c>
    </row>
    <row r="108" spans="2:3">
      <c r="B108">
        <f>_xlfn.UNICODE(MID($B$86,22,1))</f>
        <v>0</v>
      </c>
      <c r="C108">
        <f>MOD(MOD(_xlfn.BITXOR(C107,B108),256)*16777216+_xlfn.BITXOR(C107,B108)*403,4294967296)</f>
        <v>0</v>
      </c>
    </row>
    <row r="109" spans="2:3">
      <c r="B109">
        <f>_xlfn.UNICODE(MID($B$86,23,1))</f>
        <v>0</v>
      </c>
      <c r="C109">
        <f>MOD(MOD(_xlfn.BITXOR(C108,B109),256)*16777216+_xlfn.BITXOR(C108,B109)*403,4294967296)</f>
        <v>0</v>
      </c>
    </row>
    <row r="110" spans="2:3">
      <c r="B110">
        <f>_xlfn.UNICODE(MID($B$86,24,1))</f>
        <v>0</v>
      </c>
      <c r="C110">
        <f>MOD(MOD(_xlfn.BITXOR(C109,B110),256)*16777216+_xlfn.BITXOR(C109,B110)*403,4294967296)</f>
        <v>0</v>
      </c>
    </row>
    <row r="111" spans="2:3">
      <c r="B111">
        <f>_xlfn.UNICODE(MID($B$86,25,1))</f>
        <v>0</v>
      </c>
      <c r="C111">
        <f>MOD(MOD(_xlfn.BITXOR(C110,B111),256)*16777216+_xlfn.BITXOR(C110,B111)*403,4294967296)</f>
        <v>0</v>
      </c>
    </row>
    <row r="112" spans="2:3">
      <c r="B112">
        <f>_xlfn.UNICODE(MID($B$86,26,1))</f>
        <v>0</v>
      </c>
      <c r="C112">
        <f>MOD(MOD(_xlfn.BITXOR(C111,B112),256)*16777216+_xlfn.BITXOR(C111,B112)*403,4294967296)</f>
        <v>0</v>
      </c>
    </row>
    <row r="113" spans="1:3">
      <c r="B113">
        <f>_xlfn.UNICODE(MID($B$86,27,1))</f>
        <v>0</v>
      </c>
      <c r="C113">
        <f>MOD(MOD(_xlfn.BITXOR(C112,B113),256)*16777216+_xlfn.BITXOR(C112,B113)*403,4294967296)</f>
        <v>0</v>
      </c>
    </row>
    <row r="114" spans="1:3">
      <c r="B114">
        <f>_xlfn.UNICODE(MID($B$86,28,1))</f>
        <v>0</v>
      </c>
      <c r="C114">
        <f>MOD(MOD(_xlfn.BITXOR(C113,B114),256)*16777216+_xlfn.BITXOR(C113,B114)*403,4294967296)</f>
        <v>0</v>
      </c>
    </row>
    <row r="115" spans="1:3">
      <c r="B115">
        <f>_xlfn.UNICODE(MID($B$86,29,1))</f>
        <v>0</v>
      </c>
      <c r="C115">
        <f>MOD(MOD(_xlfn.BITXOR(C114,B115),256)*16777216+_xlfn.BITXOR(C114,B115)*403,4294967296)</f>
        <v>0</v>
      </c>
    </row>
    <row r="116" spans="1:3">
      <c r="A116" t="s">
        <v>129</v>
      </c>
      <c r="B116">
        <f>"ape"&amp;Calcul!$B$82&amp;2</f>
        <v>0</v>
      </c>
    </row>
    <row r="117" spans="1:3">
      <c r="B117">
        <f>_xlfn.UNICODE(MID($B$116,1,1))</f>
        <v>0</v>
      </c>
      <c r="C117">
        <f>MOD(MOD(_xlfn.BITXOR(C115,B117),256)*16777216+_xlfn.BITXOR(C115,B117)*403,4294967296)</f>
        <v>0</v>
      </c>
    </row>
    <row r="118" spans="1:3">
      <c r="B118">
        <f>_xlfn.UNICODE(MID($B$116,2,1))</f>
        <v>0</v>
      </c>
      <c r="C118">
        <f>MOD(MOD(_xlfn.BITXOR(C117,B118),256)*16777216+_xlfn.BITXOR(C117,B118)*403,4294967296)</f>
        <v>0</v>
      </c>
    </row>
    <row r="119" spans="1:3">
      <c r="B119">
        <f>_xlfn.UNICODE(MID($B$116,3,1))</f>
        <v>0</v>
      </c>
      <c r="C119">
        <f>MOD(MOD(_xlfn.BITXOR(C118,B119),256)*16777216+_xlfn.BITXOR(C118,B119)*403,4294967296)</f>
        <v>0</v>
      </c>
    </row>
    <row r="120" spans="1:3">
      <c r="B120">
        <f>_xlfn.UNICODE(MID($B$116,4,1))</f>
        <v>0</v>
      </c>
      <c r="C120">
        <f>MOD(MOD(_xlfn.BITXOR(C119,B120),256)*16777216+_xlfn.BITXOR(C119,B120)*403,4294967296)</f>
        <v>0</v>
      </c>
    </row>
    <row r="121" spans="1:3">
      <c r="B121">
        <f>_xlfn.UNICODE(MID($B$116,5,1))</f>
        <v>0</v>
      </c>
      <c r="C121">
        <f>MOD(MOD(_xlfn.BITXOR(C120,B121),256)*16777216+_xlfn.BITXOR(C120,B121)*403,4294967296)</f>
        <v>0</v>
      </c>
    </row>
    <row r="122" spans="1:3">
      <c r="B122">
        <f>_xlfn.UNICODE(MID($B$116,6,1))</f>
        <v>0</v>
      </c>
      <c r="C122">
        <f>MOD(MOD(_xlfn.BITXOR(C121,B122),256)*16777216+_xlfn.BITXOR(C121,B122)*403,4294967296)</f>
        <v>0</v>
      </c>
    </row>
    <row r="123" spans="1:3">
      <c r="B123">
        <f>_xlfn.UNICODE(MID($B$116,7,1))</f>
        <v>0</v>
      </c>
      <c r="C123">
        <f>MOD(MOD(_xlfn.BITXOR(C122,B123),256)*16777216+_xlfn.BITXOR(C122,B123)*403,4294967296)</f>
        <v>0</v>
      </c>
    </row>
    <row r="124" spans="1:3">
      <c r="B124">
        <f>_xlfn.UNICODE(MID($B$116,8,1))</f>
        <v>0</v>
      </c>
      <c r="C124">
        <f>MOD(MOD(_xlfn.BITXOR(C123,B124),256)*16777216+_xlfn.BITXOR(C123,B124)*403,4294967296)</f>
        <v>0</v>
      </c>
    </row>
    <row r="125" spans="1:3">
      <c r="B125">
        <f>_xlfn.UNICODE(MID($B$116,9,1))</f>
        <v>0</v>
      </c>
      <c r="C125">
        <f>MOD(MOD(_xlfn.BITXOR(C124,B125),256)*16777216+_xlfn.BITXOR(C124,B125)*403,4294967296)</f>
        <v>0</v>
      </c>
    </row>
    <row r="126" spans="1:3">
      <c r="B126">
        <f>_xlfn.UNICODE(MID($B$116,10,1))</f>
        <v>0</v>
      </c>
      <c r="C126">
        <f>MOD(MOD(_xlfn.BITXOR(C125,B126),256)*16777216+_xlfn.BITXOR(C125,B126)*403,4294967296)</f>
        <v>0</v>
      </c>
    </row>
    <row r="127" spans="1:3">
      <c r="B127">
        <f>_xlfn.UNICODE(MID($B$116,11,1))</f>
        <v>0</v>
      </c>
      <c r="C127">
        <f>MOD(MOD(_xlfn.BITXOR(C126,B127),256)*16777216+_xlfn.BITXOR(C126,B127)*403,4294967296)</f>
        <v>0</v>
      </c>
    </row>
    <row r="128" spans="1:3">
      <c r="B128">
        <f>_xlfn.UNICODE(MID($B$116,12,1))</f>
        <v>0</v>
      </c>
      <c r="C128">
        <f>MOD(MOD(_xlfn.BITXOR(C127,B128),256)*16777216+_xlfn.BITXOR(C127,B128)*403,4294967296)</f>
        <v>0</v>
      </c>
    </row>
    <row r="129" spans="2:3">
      <c r="B129">
        <f>_xlfn.UNICODE(MID($B$116,13,1))</f>
        <v>0</v>
      </c>
      <c r="C129">
        <f>MOD(MOD(_xlfn.BITXOR(C128,B129),256)*16777216+_xlfn.BITXOR(C128,B129)*403,4294967296)</f>
        <v>0</v>
      </c>
    </row>
    <row r="130" spans="2:3">
      <c r="B130">
        <f>_xlfn.UNICODE(MID($B$116,14,1))</f>
        <v>0</v>
      </c>
      <c r="C130">
        <f>MOD(MOD(_xlfn.BITXOR(C129,B130),256)*16777216+_xlfn.BITXOR(C129,B130)*403,4294967296)</f>
        <v>0</v>
      </c>
    </row>
    <row r="131" spans="2:3">
      <c r="B131">
        <f>_xlfn.UNICODE(MID($B$116,15,1))</f>
        <v>0</v>
      </c>
      <c r="C131">
        <f>MOD(MOD(_xlfn.BITXOR(C130,B131),256)*16777216+_xlfn.BITXOR(C130,B131)*403,4294967296)</f>
        <v>0</v>
      </c>
    </row>
    <row r="132" spans="2:3">
      <c r="B132">
        <f>_xlfn.UNICODE(MID($B$116,16,1))</f>
        <v>0</v>
      </c>
      <c r="C132">
        <f>MOD(MOD(_xlfn.BITXOR(C131,B132),256)*16777216+_xlfn.BITXOR(C131,B132)*403,4294967296)</f>
        <v>0</v>
      </c>
    </row>
    <row r="133" spans="2:3">
      <c r="B133">
        <f>_xlfn.UNICODE(MID($B$116,17,1))</f>
        <v>0</v>
      </c>
      <c r="C133">
        <f>MOD(MOD(_xlfn.BITXOR(C132,B133),256)*16777216+_xlfn.BITXOR(C132,B133)*403,4294967296)</f>
        <v>0</v>
      </c>
    </row>
    <row r="134" spans="2:3">
      <c r="B134">
        <f>_xlfn.UNICODE(MID($B$116,18,1))</f>
        <v>0</v>
      </c>
      <c r="C134">
        <f>MOD(MOD(_xlfn.BITXOR(C133,B134),256)*16777216+_xlfn.BITXOR(C133,B134)*403,4294967296)</f>
        <v>0</v>
      </c>
    </row>
    <row r="135" spans="2:3">
      <c r="B135">
        <f>_xlfn.UNICODE(MID($B$116,19,1))</f>
        <v>0</v>
      </c>
      <c r="C135">
        <f>MOD(MOD(_xlfn.BITXOR(C134,B135),256)*16777216+_xlfn.BITXOR(C134,B135)*403,4294967296)</f>
        <v>0</v>
      </c>
    </row>
    <row r="136" spans="2:3">
      <c r="B136">
        <f>_xlfn.UNICODE(MID($B$116,20,1))</f>
        <v>0</v>
      </c>
      <c r="C136">
        <f>MOD(MOD(_xlfn.BITXOR(C135,B136),256)*16777216+_xlfn.BITXOR(C135,B136)*403,4294967296)</f>
        <v>0</v>
      </c>
    </row>
    <row r="137" spans="2:3">
      <c r="B137">
        <f>_xlfn.UNICODE(MID($B$116,21,1))</f>
        <v>0</v>
      </c>
      <c r="C137">
        <f>MOD(MOD(_xlfn.BITXOR(C136,B137),256)*16777216+_xlfn.BITXOR(C136,B137)*403,4294967296)</f>
        <v>0</v>
      </c>
    </row>
    <row r="138" spans="2:3">
      <c r="B138">
        <f>_xlfn.UNICODE(MID($B$116,22,1))</f>
        <v>0</v>
      </c>
      <c r="C138">
        <f>MOD(MOD(_xlfn.BITXOR(C137,B138),256)*16777216+_xlfn.BITXOR(C137,B138)*403,4294967296)</f>
        <v>0</v>
      </c>
    </row>
    <row r="139" spans="2:3">
      <c r="B139">
        <f>_xlfn.UNICODE(MID($B$116,23,1))</f>
        <v>0</v>
      </c>
      <c r="C139">
        <f>MOD(MOD(_xlfn.BITXOR(C138,B139),256)*16777216+_xlfn.BITXOR(C138,B139)*403,4294967296)</f>
        <v>0</v>
      </c>
    </row>
    <row r="140" spans="2:3">
      <c r="B140">
        <f>_xlfn.UNICODE(MID($B$116,24,1))</f>
        <v>0</v>
      </c>
      <c r="C140">
        <f>MOD(MOD(_xlfn.BITXOR(C139,B140),256)*16777216+_xlfn.BITXOR(C139,B140)*403,4294967296)</f>
        <v>0</v>
      </c>
    </row>
    <row r="141" spans="2:3">
      <c r="B141">
        <f>_xlfn.UNICODE(MID($B$116,25,1))</f>
        <v>0</v>
      </c>
      <c r="C141">
        <f>MOD(MOD(_xlfn.BITXOR(C140,B141),256)*16777216+_xlfn.BITXOR(C140,B141)*403,4294967296)</f>
        <v>0</v>
      </c>
    </row>
    <row r="142" spans="2:3">
      <c r="B142">
        <f>_xlfn.UNICODE(MID($B$116,26,1))</f>
        <v>0</v>
      </c>
      <c r="C142">
        <f>MOD(MOD(_xlfn.BITXOR(C141,B142),256)*16777216+_xlfn.BITXOR(C141,B142)*403,4294967296)</f>
        <v>0</v>
      </c>
    </row>
    <row r="143" spans="2:3">
      <c r="B143">
        <f>_xlfn.UNICODE(MID($B$116,27,1))</f>
        <v>0</v>
      </c>
      <c r="C143">
        <f>MOD(MOD(_xlfn.BITXOR(C142,B143),256)*16777216+_xlfn.BITXOR(C142,B143)*403,4294967296)</f>
        <v>0</v>
      </c>
    </row>
    <row r="144" spans="2:3">
      <c r="B144">
        <f>_xlfn.UNICODE(MID($B$116,28,1))</f>
        <v>0</v>
      </c>
      <c r="C144">
        <f>MOD(MOD(_xlfn.BITXOR(C143,B144),256)*16777216+_xlfn.BITXOR(C143,B144)*403,4294967296)</f>
        <v>0</v>
      </c>
    </row>
    <row r="145" spans="1:3">
      <c r="B145">
        <f>_xlfn.UNICODE(MID($B$116,29,1))</f>
        <v>0</v>
      </c>
      <c r="C145">
        <f>MOD(MOD(_xlfn.BITXOR(C144,B145),256)*16777216+_xlfn.BITXOR(C144,B145)*403,4294967296)</f>
        <v>0</v>
      </c>
    </row>
    <row r="146" spans="1:3">
      <c r="A146" t="s">
        <v>130</v>
      </c>
      <c r="B146">
        <f>"ape"&amp;Calcul!$B$82&amp;4</f>
        <v>0</v>
      </c>
    </row>
    <row r="147" spans="1:3">
      <c r="B147">
        <f>_xlfn.UNICODE(MID($B$146,1,1))</f>
        <v>0</v>
      </c>
      <c r="C147">
        <f>MOD(MOD(_xlfn.BITXOR(C145,B147),256)*16777216+_xlfn.BITXOR(C145,B147)*403,4294967296)</f>
        <v>0</v>
      </c>
    </row>
    <row r="148" spans="1:3">
      <c r="B148">
        <f>_xlfn.UNICODE(MID($B$146,2,1))</f>
        <v>0</v>
      </c>
      <c r="C148">
        <f>MOD(MOD(_xlfn.BITXOR(C147,B148),256)*16777216+_xlfn.BITXOR(C147,B148)*403,4294967296)</f>
        <v>0</v>
      </c>
    </row>
    <row r="149" spans="1:3">
      <c r="B149">
        <f>_xlfn.UNICODE(MID($B$146,3,1))</f>
        <v>0</v>
      </c>
      <c r="C149">
        <f>MOD(MOD(_xlfn.BITXOR(C148,B149),256)*16777216+_xlfn.BITXOR(C148,B149)*403,4294967296)</f>
        <v>0</v>
      </c>
    </row>
    <row r="150" spans="1:3">
      <c r="B150">
        <f>_xlfn.UNICODE(MID($B$146,4,1))</f>
        <v>0</v>
      </c>
      <c r="C150">
        <f>MOD(MOD(_xlfn.BITXOR(C149,B150),256)*16777216+_xlfn.BITXOR(C149,B150)*403,4294967296)</f>
        <v>0</v>
      </c>
    </row>
    <row r="151" spans="1:3">
      <c r="B151">
        <f>_xlfn.UNICODE(MID($B$146,5,1))</f>
        <v>0</v>
      </c>
      <c r="C151">
        <f>MOD(MOD(_xlfn.BITXOR(C150,B151),256)*16777216+_xlfn.BITXOR(C150,B151)*403,4294967296)</f>
        <v>0</v>
      </c>
    </row>
    <row r="152" spans="1:3">
      <c r="B152">
        <f>_xlfn.UNICODE(MID($B$146,6,1))</f>
        <v>0</v>
      </c>
      <c r="C152">
        <f>MOD(MOD(_xlfn.BITXOR(C151,B152),256)*16777216+_xlfn.BITXOR(C151,B152)*403,4294967296)</f>
        <v>0</v>
      </c>
    </row>
    <row r="153" spans="1:3">
      <c r="B153">
        <f>_xlfn.UNICODE(MID($B$146,7,1))</f>
        <v>0</v>
      </c>
      <c r="C153">
        <f>MOD(MOD(_xlfn.BITXOR(C152,B153),256)*16777216+_xlfn.BITXOR(C152,B153)*403,4294967296)</f>
        <v>0</v>
      </c>
    </row>
    <row r="154" spans="1:3">
      <c r="B154">
        <f>_xlfn.UNICODE(MID($B$146,8,1))</f>
        <v>0</v>
      </c>
      <c r="C154">
        <f>MOD(MOD(_xlfn.BITXOR(C153,B154),256)*16777216+_xlfn.BITXOR(C153,B154)*403,4294967296)</f>
        <v>0</v>
      </c>
    </row>
    <row r="155" spans="1:3">
      <c r="B155">
        <f>_xlfn.UNICODE(MID($B$146,9,1))</f>
        <v>0</v>
      </c>
      <c r="C155">
        <f>MOD(MOD(_xlfn.BITXOR(C154,B155),256)*16777216+_xlfn.BITXOR(C154,B155)*403,4294967296)</f>
        <v>0</v>
      </c>
    </row>
    <row r="156" spans="1:3">
      <c r="B156">
        <f>_xlfn.UNICODE(MID($B$146,10,1))</f>
        <v>0</v>
      </c>
      <c r="C156">
        <f>MOD(MOD(_xlfn.BITXOR(C155,B156),256)*16777216+_xlfn.BITXOR(C155,B156)*403,4294967296)</f>
        <v>0</v>
      </c>
    </row>
    <row r="157" spans="1:3">
      <c r="B157">
        <f>_xlfn.UNICODE(MID($B$146,11,1))</f>
        <v>0</v>
      </c>
      <c r="C157">
        <f>MOD(MOD(_xlfn.BITXOR(C156,B157),256)*16777216+_xlfn.BITXOR(C156,B157)*403,4294967296)</f>
        <v>0</v>
      </c>
    </row>
    <row r="158" spans="1:3">
      <c r="B158">
        <f>_xlfn.UNICODE(MID($B$146,12,1))</f>
        <v>0</v>
      </c>
      <c r="C158">
        <f>MOD(MOD(_xlfn.BITXOR(C157,B158),256)*16777216+_xlfn.BITXOR(C157,B158)*403,4294967296)</f>
        <v>0</v>
      </c>
    </row>
    <row r="159" spans="1:3">
      <c r="B159">
        <f>_xlfn.UNICODE(MID($B$146,13,1))</f>
        <v>0</v>
      </c>
      <c r="C159">
        <f>MOD(MOD(_xlfn.BITXOR(C158,B159),256)*16777216+_xlfn.BITXOR(C158,B159)*403,4294967296)</f>
        <v>0</v>
      </c>
    </row>
    <row r="160" spans="1:3">
      <c r="B160">
        <f>_xlfn.UNICODE(MID($B$146,14,1))</f>
        <v>0</v>
      </c>
      <c r="C160">
        <f>MOD(MOD(_xlfn.BITXOR(C159,B160),256)*16777216+_xlfn.BITXOR(C159,B160)*403,4294967296)</f>
        <v>0</v>
      </c>
    </row>
    <row r="161" spans="1:3">
      <c r="B161">
        <f>_xlfn.UNICODE(MID($B$146,15,1))</f>
        <v>0</v>
      </c>
      <c r="C161">
        <f>MOD(MOD(_xlfn.BITXOR(C160,B161),256)*16777216+_xlfn.BITXOR(C160,B161)*403,4294967296)</f>
        <v>0</v>
      </c>
    </row>
    <row r="162" spans="1:3">
      <c r="B162">
        <f>_xlfn.UNICODE(MID($B$146,16,1))</f>
        <v>0</v>
      </c>
      <c r="C162">
        <f>MOD(MOD(_xlfn.BITXOR(C161,B162),256)*16777216+_xlfn.BITXOR(C161,B162)*403,4294967296)</f>
        <v>0</v>
      </c>
    </row>
    <row r="163" spans="1:3">
      <c r="B163">
        <f>_xlfn.UNICODE(MID($B$146,17,1))</f>
        <v>0</v>
      </c>
      <c r="C163">
        <f>MOD(MOD(_xlfn.BITXOR(C162,B163),256)*16777216+_xlfn.BITXOR(C162,B163)*403,4294967296)</f>
        <v>0</v>
      </c>
    </row>
    <row r="164" spans="1:3">
      <c r="B164">
        <f>_xlfn.UNICODE(MID($B$146,18,1))</f>
        <v>0</v>
      </c>
      <c r="C164">
        <f>MOD(MOD(_xlfn.BITXOR(C163,B164),256)*16777216+_xlfn.BITXOR(C163,B164)*403,4294967296)</f>
        <v>0</v>
      </c>
    </row>
    <row r="165" spans="1:3">
      <c r="B165">
        <f>_xlfn.UNICODE(MID($B$146,19,1))</f>
        <v>0</v>
      </c>
      <c r="C165">
        <f>MOD(MOD(_xlfn.BITXOR(C164,B165),256)*16777216+_xlfn.BITXOR(C164,B165)*403,4294967296)</f>
        <v>0</v>
      </c>
    </row>
    <row r="166" spans="1:3">
      <c r="B166">
        <f>_xlfn.UNICODE(MID($B$146,20,1))</f>
        <v>0</v>
      </c>
      <c r="C166">
        <f>MOD(MOD(_xlfn.BITXOR(C165,B166),256)*16777216+_xlfn.BITXOR(C165,B166)*403,4294967296)</f>
        <v>0</v>
      </c>
    </row>
    <row r="167" spans="1:3">
      <c r="B167">
        <f>_xlfn.UNICODE(MID($B$146,21,1))</f>
        <v>0</v>
      </c>
      <c r="C167">
        <f>MOD(MOD(_xlfn.BITXOR(C166,B167),256)*16777216+_xlfn.BITXOR(C166,B167)*403,4294967296)</f>
        <v>0</v>
      </c>
    </row>
    <row r="168" spans="1:3">
      <c r="B168">
        <f>_xlfn.UNICODE(MID($B$146,22,1))</f>
        <v>0</v>
      </c>
      <c r="C168">
        <f>MOD(MOD(_xlfn.BITXOR(C167,B168),256)*16777216+_xlfn.BITXOR(C167,B168)*403,4294967296)</f>
        <v>0</v>
      </c>
    </row>
    <row r="169" spans="1:3">
      <c r="B169">
        <f>_xlfn.UNICODE(MID($B$146,23,1))</f>
        <v>0</v>
      </c>
      <c r="C169">
        <f>MOD(MOD(_xlfn.BITXOR(C168,B169),256)*16777216+_xlfn.BITXOR(C168,B169)*403,4294967296)</f>
        <v>0</v>
      </c>
    </row>
    <row r="170" spans="1:3">
      <c r="B170">
        <f>_xlfn.UNICODE(MID($B$146,24,1))</f>
        <v>0</v>
      </c>
      <c r="C170">
        <f>MOD(MOD(_xlfn.BITXOR(C169,B170),256)*16777216+_xlfn.BITXOR(C169,B170)*403,4294967296)</f>
        <v>0</v>
      </c>
    </row>
    <row r="171" spans="1:3">
      <c r="B171">
        <f>_xlfn.UNICODE(MID($B$146,25,1))</f>
        <v>0</v>
      </c>
      <c r="C171">
        <f>MOD(MOD(_xlfn.BITXOR(C170,B171),256)*16777216+_xlfn.BITXOR(C170,B171)*403,4294967296)</f>
        <v>0</v>
      </c>
    </row>
    <row r="172" spans="1:3">
      <c r="B172">
        <f>_xlfn.UNICODE(MID($B$146,26,1))</f>
        <v>0</v>
      </c>
      <c r="C172">
        <f>MOD(MOD(_xlfn.BITXOR(C171,B172),256)*16777216+_xlfn.BITXOR(C171,B172)*403,4294967296)</f>
        <v>0</v>
      </c>
    </row>
    <row r="173" spans="1:3">
      <c r="B173">
        <f>_xlfn.UNICODE(MID($B$146,27,1))</f>
        <v>0</v>
      </c>
      <c r="C173">
        <f>MOD(MOD(_xlfn.BITXOR(C172,B173),256)*16777216+_xlfn.BITXOR(C172,B173)*403,4294967296)</f>
        <v>0</v>
      </c>
    </row>
    <row r="174" spans="1:3">
      <c r="B174">
        <f>_xlfn.UNICODE(MID($B$146,28,1))</f>
        <v>0</v>
      </c>
      <c r="C174">
        <f>MOD(MOD(_xlfn.BITXOR(C173,B174),256)*16777216+_xlfn.BITXOR(C173,B174)*403,4294967296)</f>
        <v>0</v>
      </c>
    </row>
    <row r="175" spans="1:3">
      <c r="B175">
        <f>_xlfn.UNICODE(MID($B$146,29,1))</f>
        <v>0</v>
      </c>
      <c r="C175">
        <f>MOD(MOD(_xlfn.BITXOR(C174,B175),256)*16777216+_xlfn.BITXOR(C174,B175)*403,4294967296)</f>
        <v>0</v>
      </c>
    </row>
    <row r="176" spans="1:3">
      <c r="A176" t="s">
        <v>131</v>
      </c>
      <c r="B176">
        <f>"ape"&amp;Calcul!$B$82&amp;6</f>
        <v>0</v>
      </c>
    </row>
    <row r="177" spans="2:3">
      <c r="B177">
        <f>_xlfn.UNICODE(MID($B$176,1,1))</f>
        <v>0</v>
      </c>
      <c r="C177">
        <f>MOD(MOD(_xlfn.BITXOR(C175,B177),256)*16777216+_xlfn.BITXOR(C175,B177)*403,4294967296)</f>
        <v>0</v>
      </c>
    </row>
    <row r="178" spans="2:3">
      <c r="B178">
        <f>_xlfn.UNICODE(MID($B$176,2,1))</f>
        <v>0</v>
      </c>
      <c r="C178">
        <f>MOD(MOD(_xlfn.BITXOR(C177,B178),256)*16777216+_xlfn.BITXOR(C177,B178)*403,4294967296)</f>
        <v>0</v>
      </c>
    </row>
    <row r="179" spans="2:3">
      <c r="B179">
        <f>_xlfn.UNICODE(MID($B$176,3,1))</f>
        <v>0</v>
      </c>
      <c r="C179">
        <f>MOD(MOD(_xlfn.BITXOR(C178,B179),256)*16777216+_xlfn.BITXOR(C178,B179)*403,4294967296)</f>
        <v>0</v>
      </c>
    </row>
    <row r="180" spans="2:3">
      <c r="B180">
        <f>_xlfn.UNICODE(MID($B$176,4,1))</f>
        <v>0</v>
      </c>
      <c r="C180">
        <f>MOD(MOD(_xlfn.BITXOR(C179,B180),256)*16777216+_xlfn.BITXOR(C179,B180)*403,4294967296)</f>
        <v>0</v>
      </c>
    </row>
    <row r="181" spans="2:3">
      <c r="B181">
        <f>_xlfn.UNICODE(MID($B$176,5,1))</f>
        <v>0</v>
      </c>
      <c r="C181">
        <f>MOD(MOD(_xlfn.BITXOR(C180,B181),256)*16777216+_xlfn.BITXOR(C180,B181)*403,4294967296)</f>
        <v>0</v>
      </c>
    </row>
    <row r="182" spans="2:3">
      <c r="B182">
        <f>_xlfn.UNICODE(MID($B$176,6,1))</f>
        <v>0</v>
      </c>
      <c r="C182">
        <f>MOD(MOD(_xlfn.BITXOR(C181,B182),256)*16777216+_xlfn.BITXOR(C181,B182)*403,4294967296)</f>
        <v>0</v>
      </c>
    </row>
    <row r="183" spans="2:3">
      <c r="B183">
        <f>_xlfn.UNICODE(MID($B$176,7,1))</f>
        <v>0</v>
      </c>
      <c r="C183">
        <f>MOD(MOD(_xlfn.BITXOR(C182,B183),256)*16777216+_xlfn.BITXOR(C182,B183)*403,4294967296)</f>
        <v>0</v>
      </c>
    </row>
    <row r="184" spans="2:3">
      <c r="B184">
        <f>_xlfn.UNICODE(MID($B$176,8,1))</f>
        <v>0</v>
      </c>
      <c r="C184">
        <f>MOD(MOD(_xlfn.BITXOR(C183,B184),256)*16777216+_xlfn.BITXOR(C183,B184)*403,4294967296)</f>
        <v>0</v>
      </c>
    </row>
    <row r="185" spans="2:3">
      <c r="B185">
        <f>_xlfn.UNICODE(MID($B$176,9,1))</f>
        <v>0</v>
      </c>
      <c r="C185">
        <f>MOD(MOD(_xlfn.BITXOR(C184,B185),256)*16777216+_xlfn.BITXOR(C184,B185)*403,4294967296)</f>
        <v>0</v>
      </c>
    </row>
    <row r="186" spans="2:3">
      <c r="B186">
        <f>_xlfn.UNICODE(MID($B$176,10,1))</f>
        <v>0</v>
      </c>
      <c r="C186">
        <f>MOD(MOD(_xlfn.BITXOR(C185,B186),256)*16777216+_xlfn.BITXOR(C185,B186)*403,4294967296)</f>
        <v>0</v>
      </c>
    </row>
    <row r="187" spans="2:3">
      <c r="B187">
        <f>_xlfn.UNICODE(MID($B$176,11,1))</f>
        <v>0</v>
      </c>
      <c r="C187">
        <f>MOD(MOD(_xlfn.BITXOR(C186,B187),256)*16777216+_xlfn.BITXOR(C186,B187)*403,4294967296)</f>
        <v>0</v>
      </c>
    </row>
    <row r="188" spans="2:3">
      <c r="B188">
        <f>_xlfn.UNICODE(MID($B$176,12,1))</f>
        <v>0</v>
      </c>
      <c r="C188">
        <f>MOD(MOD(_xlfn.BITXOR(C187,B188),256)*16777216+_xlfn.BITXOR(C187,B188)*403,4294967296)</f>
        <v>0</v>
      </c>
    </row>
    <row r="189" spans="2:3">
      <c r="B189">
        <f>_xlfn.UNICODE(MID($B$176,13,1))</f>
        <v>0</v>
      </c>
      <c r="C189">
        <f>MOD(MOD(_xlfn.BITXOR(C188,B189),256)*16777216+_xlfn.BITXOR(C188,B189)*403,4294967296)</f>
        <v>0</v>
      </c>
    </row>
    <row r="190" spans="2:3">
      <c r="B190">
        <f>_xlfn.UNICODE(MID($B$176,14,1))</f>
        <v>0</v>
      </c>
      <c r="C190">
        <f>MOD(MOD(_xlfn.BITXOR(C189,B190),256)*16777216+_xlfn.BITXOR(C189,B190)*403,4294967296)</f>
        <v>0</v>
      </c>
    </row>
    <row r="191" spans="2:3">
      <c r="B191">
        <f>_xlfn.UNICODE(MID($B$176,15,1))</f>
        <v>0</v>
      </c>
      <c r="C191">
        <f>MOD(MOD(_xlfn.BITXOR(C190,B191),256)*16777216+_xlfn.BITXOR(C190,B191)*403,4294967296)</f>
        <v>0</v>
      </c>
    </row>
    <row r="192" spans="2:3">
      <c r="B192">
        <f>_xlfn.UNICODE(MID($B$176,16,1))</f>
        <v>0</v>
      </c>
      <c r="C192">
        <f>MOD(MOD(_xlfn.BITXOR(C191,B192),256)*16777216+_xlfn.BITXOR(C191,B192)*403,4294967296)</f>
        <v>0</v>
      </c>
    </row>
    <row r="193" spans="1:3">
      <c r="B193">
        <f>_xlfn.UNICODE(MID($B$176,17,1))</f>
        <v>0</v>
      </c>
      <c r="C193">
        <f>MOD(MOD(_xlfn.BITXOR(C192,B193),256)*16777216+_xlfn.BITXOR(C192,B193)*403,4294967296)</f>
        <v>0</v>
      </c>
    </row>
    <row r="194" spans="1:3">
      <c r="B194">
        <f>_xlfn.UNICODE(MID($B$176,18,1))</f>
        <v>0</v>
      </c>
      <c r="C194">
        <f>MOD(MOD(_xlfn.BITXOR(C193,B194),256)*16777216+_xlfn.BITXOR(C193,B194)*403,4294967296)</f>
        <v>0</v>
      </c>
    </row>
    <row r="195" spans="1:3">
      <c r="B195">
        <f>_xlfn.UNICODE(MID($B$176,19,1))</f>
        <v>0</v>
      </c>
      <c r="C195">
        <f>MOD(MOD(_xlfn.BITXOR(C194,B195),256)*16777216+_xlfn.BITXOR(C194,B195)*403,4294967296)</f>
        <v>0</v>
      </c>
    </row>
    <row r="196" spans="1:3">
      <c r="B196">
        <f>_xlfn.UNICODE(MID($B$176,20,1))</f>
        <v>0</v>
      </c>
      <c r="C196">
        <f>MOD(MOD(_xlfn.BITXOR(C195,B196),256)*16777216+_xlfn.BITXOR(C195,B196)*403,4294967296)</f>
        <v>0</v>
      </c>
    </row>
    <row r="197" spans="1:3">
      <c r="B197">
        <f>_xlfn.UNICODE(MID($B$176,21,1))</f>
        <v>0</v>
      </c>
      <c r="C197">
        <f>MOD(MOD(_xlfn.BITXOR(C196,B197),256)*16777216+_xlfn.BITXOR(C196,B197)*403,4294967296)</f>
        <v>0</v>
      </c>
    </row>
    <row r="198" spans="1:3">
      <c r="B198">
        <f>_xlfn.UNICODE(MID($B$176,22,1))</f>
        <v>0</v>
      </c>
      <c r="C198">
        <f>MOD(MOD(_xlfn.BITXOR(C197,B198),256)*16777216+_xlfn.BITXOR(C197,B198)*403,4294967296)</f>
        <v>0</v>
      </c>
    </row>
    <row r="199" spans="1:3">
      <c r="B199">
        <f>_xlfn.UNICODE(MID($B$176,23,1))</f>
        <v>0</v>
      </c>
      <c r="C199">
        <f>MOD(MOD(_xlfn.BITXOR(C198,B199),256)*16777216+_xlfn.BITXOR(C198,B199)*403,4294967296)</f>
        <v>0</v>
      </c>
    </row>
    <row r="200" spans="1:3">
      <c r="B200">
        <f>_xlfn.UNICODE(MID($B$176,24,1))</f>
        <v>0</v>
      </c>
      <c r="C200">
        <f>MOD(MOD(_xlfn.BITXOR(C199,B200),256)*16777216+_xlfn.BITXOR(C199,B200)*403,4294967296)</f>
        <v>0</v>
      </c>
    </row>
    <row r="201" spans="1:3">
      <c r="B201">
        <f>_xlfn.UNICODE(MID($B$176,25,1))</f>
        <v>0</v>
      </c>
      <c r="C201">
        <f>MOD(MOD(_xlfn.BITXOR(C200,B201),256)*16777216+_xlfn.BITXOR(C200,B201)*403,4294967296)</f>
        <v>0</v>
      </c>
    </row>
    <row r="202" spans="1:3">
      <c r="B202">
        <f>_xlfn.UNICODE(MID($B$176,26,1))</f>
        <v>0</v>
      </c>
      <c r="C202">
        <f>MOD(MOD(_xlfn.BITXOR(C201,B202),256)*16777216+_xlfn.BITXOR(C201,B202)*403,4294967296)</f>
        <v>0</v>
      </c>
    </row>
    <row r="203" spans="1:3">
      <c r="B203">
        <f>_xlfn.UNICODE(MID($B$176,27,1))</f>
        <v>0</v>
      </c>
      <c r="C203">
        <f>MOD(MOD(_xlfn.BITXOR(C202,B203),256)*16777216+_xlfn.BITXOR(C202,B203)*403,4294967296)</f>
        <v>0</v>
      </c>
    </row>
    <row r="204" spans="1:3">
      <c r="B204">
        <f>_xlfn.UNICODE(MID($B$176,28,1))</f>
        <v>0</v>
      </c>
      <c r="C204">
        <f>MOD(MOD(_xlfn.BITXOR(C203,B204),256)*16777216+_xlfn.BITXOR(C203,B204)*403,4294967296)</f>
        <v>0</v>
      </c>
    </row>
    <row r="205" spans="1:3">
      <c r="B205">
        <f>_xlfn.UNICODE(MID($B$176,29,1))</f>
        <v>0</v>
      </c>
      <c r="C205">
        <f>MOD(MOD(_xlfn.BITXOR(C204,B205),256)*16777216+_xlfn.BITXOR(C204,B205)*403,4294967296)</f>
        <v>0</v>
      </c>
    </row>
    <row r="206" spans="1:3">
      <c r="A206" t="s">
        <v>132</v>
      </c>
      <c r="B206">
        <f>"ape"&amp;Calcul!$B$82&amp;8</f>
        <v>0</v>
      </c>
    </row>
    <row r="207" spans="1:3">
      <c r="B207">
        <f>_xlfn.UNICODE(MID($B$206,1,1))</f>
        <v>0</v>
      </c>
      <c r="C207">
        <f>MOD(MOD(_xlfn.BITXOR(C205,B207),256)*16777216+_xlfn.BITXOR(C205,B207)*403,4294967296)</f>
        <v>0</v>
      </c>
    </row>
    <row r="208" spans="1:3">
      <c r="B208">
        <f>_xlfn.UNICODE(MID($B$206,2,1))</f>
        <v>0</v>
      </c>
      <c r="C208">
        <f>MOD(MOD(_xlfn.BITXOR(C207,B208),256)*16777216+_xlfn.BITXOR(C207,B208)*403,4294967296)</f>
        <v>0</v>
      </c>
    </row>
    <row r="209" spans="2:3">
      <c r="B209">
        <f>_xlfn.UNICODE(MID($B$206,3,1))</f>
        <v>0</v>
      </c>
      <c r="C209">
        <f>MOD(MOD(_xlfn.BITXOR(C208,B209),256)*16777216+_xlfn.BITXOR(C208,B209)*403,4294967296)</f>
        <v>0</v>
      </c>
    </row>
    <row r="210" spans="2:3">
      <c r="B210">
        <f>_xlfn.UNICODE(MID($B$206,4,1))</f>
        <v>0</v>
      </c>
      <c r="C210">
        <f>MOD(MOD(_xlfn.BITXOR(C209,B210),256)*16777216+_xlfn.BITXOR(C209,B210)*403,4294967296)</f>
        <v>0</v>
      </c>
    </row>
    <row r="211" spans="2:3">
      <c r="B211">
        <f>_xlfn.UNICODE(MID($B$206,5,1))</f>
        <v>0</v>
      </c>
      <c r="C211">
        <f>MOD(MOD(_xlfn.BITXOR(C210,B211),256)*16777216+_xlfn.BITXOR(C210,B211)*403,4294967296)</f>
        <v>0</v>
      </c>
    </row>
    <row r="212" spans="2:3">
      <c r="B212">
        <f>_xlfn.UNICODE(MID($B$206,6,1))</f>
        <v>0</v>
      </c>
      <c r="C212">
        <f>MOD(MOD(_xlfn.BITXOR(C211,B212),256)*16777216+_xlfn.BITXOR(C211,B212)*403,4294967296)</f>
        <v>0</v>
      </c>
    </row>
    <row r="213" spans="2:3">
      <c r="B213">
        <f>_xlfn.UNICODE(MID($B$206,7,1))</f>
        <v>0</v>
      </c>
      <c r="C213">
        <f>MOD(MOD(_xlfn.BITXOR(C212,B213),256)*16777216+_xlfn.BITXOR(C212,B213)*403,4294967296)</f>
        <v>0</v>
      </c>
    </row>
    <row r="214" spans="2:3">
      <c r="B214">
        <f>_xlfn.UNICODE(MID($B$206,8,1))</f>
        <v>0</v>
      </c>
      <c r="C214">
        <f>MOD(MOD(_xlfn.BITXOR(C213,B214),256)*16777216+_xlfn.BITXOR(C213,B214)*403,4294967296)</f>
        <v>0</v>
      </c>
    </row>
    <row r="215" spans="2:3">
      <c r="B215">
        <f>_xlfn.UNICODE(MID($B$206,9,1))</f>
        <v>0</v>
      </c>
      <c r="C215">
        <f>MOD(MOD(_xlfn.BITXOR(C214,B215),256)*16777216+_xlfn.BITXOR(C214,B215)*403,4294967296)</f>
        <v>0</v>
      </c>
    </row>
    <row r="216" spans="2:3">
      <c r="B216">
        <f>_xlfn.UNICODE(MID($B$206,10,1))</f>
        <v>0</v>
      </c>
      <c r="C216">
        <f>MOD(MOD(_xlfn.BITXOR(C215,B216),256)*16777216+_xlfn.BITXOR(C215,B216)*403,4294967296)</f>
        <v>0</v>
      </c>
    </row>
    <row r="217" spans="2:3">
      <c r="B217">
        <f>_xlfn.UNICODE(MID($B$206,11,1))</f>
        <v>0</v>
      </c>
      <c r="C217">
        <f>MOD(MOD(_xlfn.BITXOR(C216,B217),256)*16777216+_xlfn.BITXOR(C216,B217)*403,4294967296)</f>
        <v>0</v>
      </c>
    </row>
    <row r="218" spans="2:3">
      <c r="B218">
        <f>_xlfn.UNICODE(MID($B$206,12,1))</f>
        <v>0</v>
      </c>
      <c r="C218">
        <f>MOD(MOD(_xlfn.BITXOR(C217,B218),256)*16777216+_xlfn.BITXOR(C217,B218)*403,4294967296)</f>
        <v>0</v>
      </c>
    </row>
    <row r="219" spans="2:3">
      <c r="B219">
        <f>_xlfn.UNICODE(MID($B$206,13,1))</f>
        <v>0</v>
      </c>
      <c r="C219">
        <f>MOD(MOD(_xlfn.BITXOR(C218,B219),256)*16777216+_xlfn.BITXOR(C218,B219)*403,4294967296)</f>
        <v>0</v>
      </c>
    </row>
    <row r="220" spans="2:3">
      <c r="B220">
        <f>_xlfn.UNICODE(MID($B$206,14,1))</f>
        <v>0</v>
      </c>
      <c r="C220">
        <f>MOD(MOD(_xlfn.BITXOR(C219,B220),256)*16777216+_xlfn.BITXOR(C219,B220)*403,4294967296)</f>
        <v>0</v>
      </c>
    </row>
    <row r="221" spans="2:3">
      <c r="B221">
        <f>_xlfn.UNICODE(MID($B$206,15,1))</f>
        <v>0</v>
      </c>
      <c r="C221">
        <f>MOD(MOD(_xlfn.BITXOR(C220,B221),256)*16777216+_xlfn.BITXOR(C220,B221)*403,4294967296)</f>
        <v>0</v>
      </c>
    </row>
    <row r="222" spans="2:3">
      <c r="B222">
        <f>_xlfn.UNICODE(MID($B$206,16,1))</f>
        <v>0</v>
      </c>
      <c r="C222">
        <f>MOD(MOD(_xlfn.BITXOR(C221,B222),256)*16777216+_xlfn.BITXOR(C221,B222)*403,4294967296)</f>
        <v>0</v>
      </c>
    </row>
    <row r="223" spans="2:3">
      <c r="B223">
        <f>_xlfn.UNICODE(MID($B$206,17,1))</f>
        <v>0</v>
      </c>
      <c r="C223">
        <f>MOD(MOD(_xlfn.BITXOR(C222,B223),256)*16777216+_xlfn.BITXOR(C222,B223)*403,4294967296)</f>
        <v>0</v>
      </c>
    </row>
    <row r="224" spans="2:3">
      <c r="B224">
        <f>_xlfn.UNICODE(MID($B$206,18,1))</f>
        <v>0</v>
      </c>
      <c r="C224">
        <f>MOD(MOD(_xlfn.BITXOR(C223,B224),256)*16777216+_xlfn.BITXOR(C223,B224)*403,4294967296)</f>
        <v>0</v>
      </c>
    </row>
    <row r="225" spans="1:3">
      <c r="B225">
        <f>_xlfn.UNICODE(MID($B$206,19,1))</f>
        <v>0</v>
      </c>
      <c r="C225">
        <f>MOD(MOD(_xlfn.BITXOR(C224,B225),256)*16777216+_xlfn.BITXOR(C224,B225)*403,4294967296)</f>
        <v>0</v>
      </c>
    </row>
    <row r="226" spans="1:3">
      <c r="B226">
        <f>_xlfn.UNICODE(MID($B$206,20,1))</f>
        <v>0</v>
      </c>
      <c r="C226">
        <f>MOD(MOD(_xlfn.BITXOR(C225,B226),256)*16777216+_xlfn.BITXOR(C225,B226)*403,4294967296)</f>
        <v>0</v>
      </c>
    </row>
    <row r="227" spans="1:3">
      <c r="B227">
        <f>_xlfn.UNICODE(MID($B$206,21,1))</f>
        <v>0</v>
      </c>
      <c r="C227">
        <f>MOD(MOD(_xlfn.BITXOR(C226,B227),256)*16777216+_xlfn.BITXOR(C226,B227)*403,4294967296)</f>
        <v>0</v>
      </c>
    </row>
    <row r="228" spans="1:3">
      <c r="B228">
        <f>_xlfn.UNICODE(MID($B$206,22,1))</f>
        <v>0</v>
      </c>
      <c r="C228">
        <f>MOD(MOD(_xlfn.BITXOR(C227,B228),256)*16777216+_xlfn.BITXOR(C227,B228)*403,4294967296)</f>
        <v>0</v>
      </c>
    </row>
    <row r="229" spans="1:3">
      <c r="B229">
        <f>_xlfn.UNICODE(MID($B$206,23,1))</f>
        <v>0</v>
      </c>
      <c r="C229">
        <f>MOD(MOD(_xlfn.BITXOR(C228,B229),256)*16777216+_xlfn.BITXOR(C228,B229)*403,4294967296)</f>
        <v>0</v>
      </c>
    </row>
    <row r="230" spans="1:3">
      <c r="B230">
        <f>_xlfn.UNICODE(MID($B$206,24,1))</f>
        <v>0</v>
      </c>
      <c r="C230">
        <f>MOD(MOD(_xlfn.BITXOR(C229,B230),256)*16777216+_xlfn.BITXOR(C229,B230)*403,4294967296)</f>
        <v>0</v>
      </c>
    </row>
    <row r="231" spans="1:3">
      <c r="B231">
        <f>_xlfn.UNICODE(MID($B$206,25,1))</f>
        <v>0</v>
      </c>
      <c r="C231">
        <f>MOD(MOD(_xlfn.BITXOR(C230,B231),256)*16777216+_xlfn.BITXOR(C230,B231)*403,4294967296)</f>
        <v>0</v>
      </c>
    </row>
    <row r="232" spans="1:3">
      <c r="B232">
        <f>_xlfn.UNICODE(MID($B$206,26,1))</f>
        <v>0</v>
      </c>
      <c r="C232">
        <f>MOD(MOD(_xlfn.BITXOR(C231,B232),256)*16777216+_xlfn.BITXOR(C231,B232)*403,4294967296)</f>
        <v>0</v>
      </c>
    </row>
    <row r="233" spans="1:3">
      <c r="B233">
        <f>_xlfn.UNICODE(MID($B$206,27,1))</f>
        <v>0</v>
      </c>
      <c r="C233">
        <f>MOD(MOD(_xlfn.BITXOR(C232,B233),256)*16777216+_xlfn.BITXOR(C232,B233)*403,4294967296)</f>
        <v>0</v>
      </c>
    </row>
    <row r="234" spans="1:3">
      <c r="B234">
        <f>_xlfn.UNICODE(MID($B$206,28,1))</f>
        <v>0</v>
      </c>
      <c r="C234">
        <f>MOD(MOD(_xlfn.BITXOR(C233,B234),256)*16777216+_xlfn.BITXOR(C233,B234)*403,4294967296)</f>
        <v>0</v>
      </c>
    </row>
    <row r="235" spans="1:3">
      <c r="B235">
        <f>_xlfn.UNICODE(MID($B$206,29,1))</f>
        <v>0</v>
      </c>
      <c r="C235">
        <f>MOD(MOD(_xlfn.BITXOR(C234,B235),256)*16777216+_xlfn.BITXOR(C234,B235)*403,4294967296)</f>
        <v>0</v>
      </c>
    </row>
    <row r="236" spans="1:3">
      <c r="A236" t="s">
        <v>133</v>
      </c>
      <c r="B236">
        <f>"ape"&amp;Calcul!$B$82&amp;10</f>
        <v>0</v>
      </c>
    </row>
    <row r="237" spans="1:3">
      <c r="B237">
        <f>_xlfn.UNICODE(MID($B$236,1,1))</f>
        <v>0</v>
      </c>
      <c r="C237">
        <f>MOD(MOD(_xlfn.BITXOR(C235,B237),256)*16777216+_xlfn.BITXOR(C235,B237)*403,4294967296)</f>
        <v>0</v>
      </c>
    </row>
    <row r="238" spans="1:3">
      <c r="B238">
        <f>_xlfn.UNICODE(MID($B$236,2,1))</f>
        <v>0</v>
      </c>
      <c r="C238">
        <f>MOD(MOD(_xlfn.BITXOR(C237,B238),256)*16777216+_xlfn.BITXOR(C237,B238)*403,4294967296)</f>
        <v>0</v>
      </c>
    </row>
    <row r="239" spans="1:3">
      <c r="B239">
        <f>_xlfn.UNICODE(MID($B$236,3,1))</f>
        <v>0</v>
      </c>
      <c r="C239">
        <f>MOD(MOD(_xlfn.BITXOR(C238,B239),256)*16777216+_xlfn.BITXOR(C238,B239)*403,4294967296)</f>
        <v>0</v>
      </c>
    </row>
    <row r="240" spans="1:3">
      <c r="B240">
        <f>_xlfn.UNICODE(MID($B$236,4,1))</f>
        <v>0</v>
      </c>
      <c r="C240">
        <f>MOD(MOD(_xlfn.BITXOR(C239,B240),256)*16777216+_xlfn.BITXOR(C239,B240)*403,4294967296)</f>
        <v>0</v>
      </c>
    </row>
    <row r="241" spans="2:3">
      <c r="B241">
        <f>_xlfn.UNICODE(MID($B$236,5,1))</f>
        <v>0</v>
      </c>
      <c r="C241">
        <f>MOD(MOD(_xlfn.BITXOR(C240,B241),256)*16777216+_xlfn.BITXOR(C240,B241)*403,4294967296)</f>
        <v>0</v>
      </c>
    </row>
    <row r="242" spans="2:3">
      <c r="B242">
        <f>_xlfn.UNICODE(MID($B$236,6,1))</f>
        <v>0</v>
      </c>
      <c r="C242">
        <f>MOD(MOD(_xlfn.BITXOR(C241,B242),256)*16777216+_xlfn.BITXOR(C241,B242)*403,4294967296)</f>
        <v>0</v>
      </c>
    </row>
    <row r="243" spans="2:3">
      <c r="B243">
        <f>_xlfn.UNICODE(MID($B$236,7,1))</f>
        <v>0</v>
      </c>
      <c r="C243">
        <f>MOD(MOD(_xlfn.BITXOR(C242,B243),256)*16777216+_xlfn.BITXOR(C242,B243)*403,4294967296)</f>
        <v>0</v>
      </c>
    </row>
    <row r="244" spans="2:3">
      <c r="B244">
        <f>_xlfn.UNICODE(MID($B$236,8,1))</f>
        <v>0</v>
      </c>
      <c r="C244">
        <f>MOD(MOD(_xlfn.BITXOR(C243,B244),256)*16777216+_xlfn.BITXOR(C243,B244)*403,4294967296)</f>
        <v>0</v>
      </c>
    </row>
    <row r="245" spans="2:3">
      <c r="B245">
        <f>_xlfn.UNICODE(MID($B$236,9,1))</f>
        <v>0</v>
      </c>
      <c r="C245">
        <f>MOD(MOD(_xlfn.BITXOR(C244,B245),256)*16777216+_xlfn.BITXOR(C244,B245)*403,4294967296)</f>
        <v>0</v>
      </c>
    </row>
    <row r="246" spans="2:3">
      <c r="B246">
        <f>_xlfn.UNICODE(MID($B$236,10,1))</f>
        <v>0</v>
      </c>
      <c r="C246">
        <f>MOD(MOD(_xlfn.BITXOR(C245,B246),256)*16777216+_xlfn.BITXOR(C245,B246)*403,4294967296)</f>
        <v>0</v>
      </c>
    </row>
    <row r="247" spans="2:3">
      <c r="B247">
        <f>_xlfn.UNICODE(MID($B$236,11,1))</f>
        <v>0</v>
      </c>
      <c r="C247">
        <f>MOD(MOD(_xlfn.BITXOR(C246,B247),256)*16777216+_xlfn.BITXOR(C246,B247)*403,4294967296)</f>
        <v>0</v>
      </c>
    </row>
    <row r="248" spans="2:3">
      <c r="B248">
        <f>_xlfn.UNICODE(MID($B$236,12,1))</f>
        <v>0</v>
      </c>
      <c r="C248">
        <f>MOD(MOD(_xlfn.BITXOR(C247,B248),256)*16777216+_xlfn.BITXOR(C247,B248)*403,4294967296)</f>
        <v>0</v>
      </c>
    </row>
    <row r="249" spans="2:3">
      <c r="B249">
        <f>_xlfn.UNICODE(MID($B$236,13,1))</f>
        <v>0</v>
      </c>
      <c r="C249">
        <f>MOD(MOD(_xlfn.BITXOR(C248,B249),256)*16777216+_xlfn.BITXOR(C248,B249)*403,4294967296)</f>
        <v>0</v>
      </c>
    </row>
    <row r="250" spans="2:3">
      <c r="B250">
        <f>_xlfn.UNICODE(MID($B$236,14,1))</f>
        <v>0</v>
      </c>
      <c r="C250">
        <f>MOD(MOD(_xlfn.BITXOR(C249,B250),256)*16777216+_xlfn.BITXOR(C249,B250)*403,4294967296)</f>
        <v>0</v>
      </c>
    </row>
    <row r="251" spans="2:3">
      <c r="B251">
        <f>_xlfn.UNICODE(MID($B$236,15,1))</f>
        <v>0</v>
      </c>
      <c r="C251">
        <f>MOD(MOD(_xlfn.BITXOR(C250,B251),256)*16777216+_xlfn.BITXOR(C250,B251)*403,4294967296)</f>
        <v>0</v>
      </c>
    </row>
    <row r="252" spans="2:3">
      <c r="B252">
        <f>_xlfn.UNICODE(MID($B$236,16,1))</f>
        <v>0</v>
      </c>
      <c r="C252">
        <f>MOD(MOD(_xlfn.BITXOR(C251,B252),256)*16777216+_xlfn.BITXOR(C251,B252)*403,4294967296)</f>
        <v>0</v>
      </c>
    </row>
    <row r="253" spans="2:3">
      <c r="B253">
        <f>_xlfn.UNICODE(MID($B$236,17,1))</f>
        <v>0</v>
      </c>
      <c r="C253">
        <f>MOD(MOD(_xlfn.BITXOR(C252,B253),256)*16777216+_xlfn.BITXOR(C252,B253)*403,4294967296)</f>
        <v>0</v>
      </c>
    </row>
    <row r="254" spans="2:3">
      <c r="B254">
        <f>_xlfn.UNICODE(MID($B$236,18,1))</f>
        <v>0</v>
      </c>
      <c r="C254">
        <f>MOD(MOD(_xlfn.BITXOR(C253,B254),256)*16777216+_xlfn.BITXOR(C253,B254)*403,4294967296)</f>
        <v>0</v>
      </c>
    </row>
    <row r="255" spans="2:3">
      <c r="B255">
        <f>_xlfn.UNICODE(MID($B$236,19,1))</f>
        <v>0</v>
      </c>
      <c r="C255">
        <f>MOD(MOD(_xlfn.BITXOR(C254,B255),256)*16777216+_xlfn.BITXOR(C254,B255)*403,4294967296)</f>
        <v>0</v>
      </c>
    </row>
    <row r="256" spans="2:3">
      <c r="B256">
        <f>_xlfn.UNICODE(MID($B$236,20,1))</f>
        <v>0</v>
      </c>
      <c r="C256">
        <f>MOD(MOD(_xlfn.BITXOR(C255,B256),256)*16777216+_xlfn.BITXOR(C255,B256)*403,4294967296)</f>
        <v>0</v>
      </c>
    </row>
    <row r="257" spans="1:3">
      <c r="B257">
        <f>_xlfn.UNICODE(MID($B$236,21,1))</f>
        <v>0</v>
      </c>
      <c r="C257">
        <f>MOD(MOD(_xlfn.BITXOR(C256,B257),256)*16777216+_xlfn.BITXOR(C256,B257)*403,4294967296)</f>
        <v>0</v>
      </c>
    </row>
    <row r="258" spans="1:3">
      <c r="B258">
        <f>_xlfn.UNICODE(MID($B$236,22,1))</f>
        <v>0</v>
      </c>
      <c r="C258">
        <f>MOD(MOD(_xlfn.BITXOR(C257,B258),256)*16777216+_xlfn.BITXOR(C257,B258)*403,4294967296)</f>
        <v>0</v>
      </c>
    </row>
    <row r="259" spans="1:3">
      <c r="B259">
        <f>_xlfn.UNICODE(MID($B$236,23,1))</f>
        <v>0</v>
      </c>
      <c r="C259">
        <f>MOD(MOD(_xlfn.BITXOR(C258,B259),256)*16777216+_xlfn.BITXOR(C258,B259)*403,4294967296)</f>
        <v>0</v>
      </c>
    </row>
    <row r="260" spans="1:3">
      <c r="B260">
        <f>_xlfn.UNICODE(MID($B$236,24,1))</f>
        <v>0</v>
      </c>
      <c r="C260">
        <f>MOD(MOD(_xlfn.BITXOR(C259,B260),256)*16777216+_xlfn.BITXOR(C259,B260)*403,4294967296)</f>
        <v>0</v>
      </c>
    </row>
    <row r="261" spans="1:3">
      <c r="B261">
        <f>_xlfn.UNICODE(MID($B$236,25,1))</f>
        <v>0</v>
      </c>
      <c r="C261">
        <f>MOD(MOD(_xlfn.BITXOR(C260,B261),256)*16777216+_xlfn.BITXOR(C260,B261)*403,4294967296)</f>
        <v>0</v>
      </c>
    </row>
    <row r="262" spans="1:3">
      <c r="B262">
        <f>_xlfn.UNICODE(MID($B$236,26,1))</f>
        <v>0</v>
      </c>
      <c r="C262">
        <f>MOD(MOD(_xlfn.BITXOR(C261,B262),256)*16777216+_xlfn.BITXOR(C261,B262)*403,4294967296)</f>
        <v>0</v>
      </c>
    </row>
    <row r="263" spans="1:3">
      <c r="B263">
        <f>_xlfn.UNICODE(MID($B$236,27,1))</f>
        <v>0</v>
      </c>
      <c r="C263">
        <f>MOD(MOD(_xlfn.BITXOR(C262,B263),256)*16777216+_xlfn.BITXOR(C262,B263)*403,4294967296)</f>
        <v>0</v>
      </c>
    </row>
    <row r="264" spans="1:3">
      <c r="B264">
        <f>_xlfn.UNICODE(MID($B$236,28,1))</f>
        <v>0</v>
      </c>
      <c r="C264">
        <f>MOD(MOD(_xlfn.BITXOR(C263,B264),256)*16777216+_xlfn.BITXOR(C263,B264)*403,4294967296)</f>
        <v>0</v>
      </c>
    </row>
    <row r="265" spans="1:3">
      <c r="B265">
        <f>_xlfn.UNICODE(MID($B$236,29,1))</f>
        <v>0</v>
      </c>
      <c r="C265">
        <f>MOD(MOD(_xlfn.BITXOR(C264,B265),256)*16777216+_xlfn.BITXOR(C264,B265)*403,4294967296)</f>
        <v>0</v>
      </c>
    </row>
    <row r="266" spans="1:3">
      <c r="B266">
        <f>_xlfn.UNICODE(MID($B$236,30,1))</f>
        <v>0</v>
      </c>
      <c r="C266">
        <f>MOD(MOD(_xlfn.BITXOR(C265,B266),256)*16777216+_xlfn.BITXOR(C265,B266)*403,4294967296)</f>
        <v>0</v>
      </c>
    </row>
    <row r="267" spans="1:3">
      <c r="A267" t="s">
        <v>134</v>
      </c>
      <c r="B267">
        <f>"ape"&amp;Calcul!$B$82&amp;12</f>
        <v>0</v>
      </c>
    </row>
    <row r="268" spans="1:3">
      <c r="B268">
        <f>_xlfn.UNICODE(MID($B$267,1,1))</f>
        <v>0</v>
      </c>
      <c r="C268">
        <f>MOD(MOD(_xlfn.BITXOR(C266,B268),256)*16777216+_xlfn.BITXOR(C266,B268)*403,4294967296)</f>
        <v>0</v>
      </c>
    </row>
    <row r="269" spans="1:3">
      <c r="B269">
        <f>_xlfn.UNICODE(MID($B$267,2,1))</f>
        <v>0</v>
      </c>
      <c r="C269">
        <f>MOD(MOD(_xlfn.BITXOR(C268,B269),256)*16777216+_xlfn.BITXOR(C268,B269)*403,4294967296)</f>
        <v>0</v>
      </c>
    </row>
    <row r="270" spans="1:3">
      <c r="B270">
        <f>_xlfn.UNICODE(MID($B$267,3,1))</f>
        <v>0</v>
      </c>
      <c r="C270">
        <f>MOD(MOD(_xlfn.BITXOR(C269,B270),256)*16777216+_xlfn.BITXOR(C269,B270)*403,4294967296)</f>
        <v>0</v>
      </c>
    </row>
    <row r="271" spans="1:3">
      <c r="B271">
        <f>_xlfn.UNICODE(MID($B$267,4,1))</f>
        <v>0</v>
      </c>
      <c r="C271">
        <f>MOD(MOD(_xlfn.BITXOR(C270,B271),256)*16777216+_xlfn.BITXOR(C270,B271)*403,4294967296)</f>
        <v>0</v>
      </c>
    </row>
    <row r="272" spans="1:3">
      <c r="B272">
        <f>_xlfn.UNICODE(MID($B$267,5,1))</f>
        <v>0</v>
      </c>
      <c r="C272">
        <f>MOD(MOD(_xlfn.BITXOR(C271,B272),256)*16777216+_xlfn.BITXOR(C271,B272)*403,4294967296)</f>
        <v>0</v>
      </c>
    </row>
    <row r="273" spans="2:3">
      <c r="B273">
        <f>_xlfn.UNICODE(MID($B$267,6,1))</f>
        <v>0</v>
      </c>
      <c r="C273">
        <f>MOD(MOD(_xlfn.BITXOR(C272,B273),256)*16777216+_xlfn.BITXOR(C272,B273)*403,4294967296)</f>
        <v>0</v>
      </c>
    </row>
    <row r="274" spans="2:3">
      <c r="B274">
        <f>_xlfn.UNICODE(MID($B$267,7,1))</f>
        <v>0</v>
      </c>
      <c r="C274">
        <f>MOD(MOD(_xlfn.BITXOR(C273,B274),256)*16777216+_xlfn.BITXOR(C273,B274)*403,4294967296)</f>
        <v>0</v>
      </c>
    </row>
    <row r="275" spans="2:3">
      <c r="B275">
        <f>_xlfn.UNICODE(MID($B$267,8,1))</f>
        <v>0</v>
      </c>
      <c r="C275">
        <f>MOD(MOD(_xlfn.BITXOR(C274,B275),256)*16777216+_xlfn.BITXOR(C274,B275)*403,4294967296)</f>
        <v>0</v>
      </c>
    </row>
    <row r="276" spans="2:3">
      <c r="B276">
        <f>_xlfn.UNICODE(MID($B$267,9,1))</f>
        <v>0</v>
      </c>
      <c r="C276">
        <f>MOD(MOD(_xlfn.BITXOR(C275,B276),256)*16777216+_xlfn.BITXOR(C275,B276)*403,4294967296)</f>
        <v>0</v>
      </c>
    </row>
    <row r="277" spans="2:3">
      <c r="B277">
        <f>_xlfn.UNICODE(MID($B$267,10,1))</f>
        <v>0</v>
      </c>
      <c r="C277">
        <f>MOD(MOD(_xlfn.BITXOR(C276,B277),256)*16777216+_xlfn.BITXOR(C276,B277)*403,4294967296)</f>
        <v>0</v>
      </c>
    </row>
    <row r="278" spans="2:3">
      <c r="B278">
        <f>_xlfn.UNICODE(MID($B$267,11,1))</f>
        <v>0</v>
      </c>
      <c r="C278">
        <f>MOD(MOD(_xlfn.BITXOR(C277,B278),256)*16777216+_xlfn.BITXOR(C277,B278)*403,4294967296)</f>
        <v>0</v>
      </c>
    </row>
    <row r="279" spans="2:3">
      <c r="B279">
        <f>_xlfn.UNICODE(MID($B$267,12,1))</f>
        <v>0</v>
      </c>
      <c r="C279">
        <f>MOD(MOD(_xlfn.BITXOR(C278,B279),256)*16777216+_xlfn.BITXOR(C278,B279)*403,4294967296)</f>
        <v>0</v>
      </c>
    </row>
    <row r="280" spans="2:3">
      <c r="B280">
        <f>_xlfn.UNICODE(MID($B$267,13,1))</f>
        <v>0</v>
      </c>
      <c r="C280">
        <f>MOD(MOD(_xlfn.BITXOR(C279,B280),256)*16777216+_xlfn.BITXOR(C279,B280)*403,4294967296)</f>
        <v>0</v>
      </c>
    </row>
    <row r="281" spans="2:3">
      <c r="B281">
        <f>_xlfn.UNICODE(MID($B$267,14,1))</f>
        <v>0</v>
      </c>
      <c r="C281">
        <f>MOD(MOD(_xlfn.BITXOR(C280,B281),256)*16777216+_xlfn.BITXOR(C280,B281)*403,4294967296)</f>
        <v>0</v>
      </c>
    </row>
    <row r="282" spans="2:3">
      <c r="B282">
        <f>_xlfn.UNICODE(MID($B$267,15,1))</f>
        <v>0</v>
      </c>
      <c r="C282">
        <f>MOD(MOD(_xlfn.BITXOR(C281,B282),256)*16777216+_xlfn.BITXOR(C281,B282)*403,4294967296)</f>
        <v>0</v>
      </c>
    </row>
    <row r="283" spans="2:3">
      <c r="B283">
        <f>_xlfn.UNICODE(MID($B$267,16,1))</f>
        <v>0</v>
      </c>
      <c r="C283">
        <f>MOD(MOD(_xlfn.BITXOR(C282,B283),256)*16777216+_xlfn.BITXOR(C282,B283)*403,4294967296)</f>
        <v>0</v>
      </c>
    </row>
    <row r="284" spans="2:3">
      <c r="B284">
        <f>_xlfn.UNICODE(MID($B$267,17,1))</f>
        <v>0</v>
      </c>
      <c r="C284">
        <f>MOD(MOD(_xlfn.BITXOR(C283,B284),256)*16777216+_xlfn.BITXOR(C283,B284)*403,4294967296)</f>
        <v>0</v>
      </c>
    </row>
    <row r="285" spans="2:3">
      <c r="B285">
        <f>_xlfn.UNICODE(MID($B$267,18,1))</f>
        <v>0</v>
      </c>
      <c r="C285">
        <f>MOD(MOD(_xlfn.BITXOR(C284,B285),256)*16777216+_xlfn.BITXOR(C284,B285)*403,4294967296)</f>
        <v>0</v>
      </c>
    </row>
    <row r="286" spans="2:3">
      <c r="B286">
        <f>_xlfn.UNICODE(MID($B$267,19,1))</f>
        <v>0</v>
      </c>
      <c r="C286">
        <f>MOD(MOD(_xlfn.BITXOR(C285,B286),256)*16777216+_xlfn.BITXOR(C285,B286)*403,4294967296)</f>
        <v>0</v>
      </c>
    </row>
    <row r="287" spans="2:3">
      <c r="B287">
        <f>_xlfn.UNICODE(MID($B$267,20,1))</f>
        <v>0</v>
      </c>
      <c r="C287">
        <f>MOD(MOD(_xlfn.BITXOR(C286,B287),256)*16777216+_xlfn.BITXOR(C286,B287)*403,4294967296)</f>
        <v>0</v>
      </c>
    </row>
    <row r="288" spans="2:3">
      <c r="B288">
        <f>_xlfn.UNICODE(MID($B$267,21,1))</f>
        <v>0</v>
      </c>
      <c r="C288">
        <f>MOD(MOD(_xlfn.BITXOR(C287,B288),256)*16777216+_xlfn.BITXOR(C287,B288)*403,4294967296)</f>
        <v>0</v>
      </c>
    </row>
    <row r="289" spans="1:3">
      <c r="B289">
        <f>_xlfn.UNICODE(MID($B$267,22,1))</f>
        <v>0</v>
      </c>
      <c r="C289">
        <f>MOD(MOD(_xlfn.BITXOR(C288,B289),256)*16777216+_xlfn.BITXOR(C288,B289)*403,4294967296)</f>
        <v>0</v>
      </c>
    </row>
    <row r="290" spans="1:3">
      <c r="B290">
        <f>_xlfn.UNICODE(MID($B$267,23,1))</f>
        <v>0</v>
      </c>
      <c r="C290">
        <f>MOD(MOD(_xlfn.BITXOR(C289,B290),256)*16777216+_xlfn.BITXOR(C289,B290)*403,4294967296)</f>
        <v>0</v>
      </c>
    </row>
    <row r="291" spans="1:3">
      <c r="B291">
        <f>_xlfn.UNICODE(MID($B$267,24,1))</f>
        <v>0</v>
      </c>
      <c r="C291">
        <f>MOD(MOD(_xlfn.BITXOR(C290,B291),256)*16777216+_xlfn.BITXOR(C290,B291)*403,4294967296)</f>
        <v>0</v>
      </c>
    </row>
    <row r="292" spans="1:3">
      <c r="B292">
        <f>_xlfn.UNICODE(MID($B$267,25,1))</f>
        <v>0</v>
      </c>
      <c r="C292">
        <f>MOD(MOD(_xlfn.BITXOR(C291,B292),256)*16777216+_xlfn.BITXOR(C291,B292)*403,4294967296)</f>
        <v>0</v>
      </c>
    </row>
    <row r="293" spans="1:3">
      <c r="B293">
        <f>_xlfn.UNICODE(MID($B$267,26,1))</f>
        <v>0</v>
      </c>
      <c r="C293">
        <f>MOD(MOD(_xlfn.BITXOR(C292,B293),256)*16777216+_xlfn.BITXOR(C292,B293)*403,4294967296)</f>
        <v>0</v>
      </c>
    </row>
    <row r="294" spans="1:3">
      <c r="B294">
        <f>_xlfn.UNICODE(MID($B$267,27,1))</f>
        <v>0</v>
      </c>
      <c r="C294">
        <f>MOD(MOD(_xlfn.BITXOR(C293,B294),256)*16777216+_xlfn.BITXOR(C293,B294)*403,4294967296)</f>
        <v>0</v>
      </c>
    </row>
    <row r="295" spans="1:3">
      <c r="B295">
        <f>_xlfn.UNICODE(MID($B$267,28,1))</f>
        <v>0</v>
      </c>
      <c r="C295">
        <f>MOD(MOD(_xlfn.BITXOR(C294,B295),256)*16777216+_xlfn.BITXOR(C294,B295)*403,4294967296)</f>
        <v>0</v>
      </c>
    </row>
    <row r="296" spans="1:3">
      <c r="B296">
        <f>_xlfn.UNICODE(MID($B$267,29,1))</f>
        <v>0</v>
      </c>
      <c r="C296">
        <f>MOD(MOD(_xlfn.BITXOR(C295,B296),256)*16777216+_xlfn.BITXOR(C295,B296)*403,4294967296)</f>
        <v>0</v>
      </c>
    </row>
    <row r="297" spans="1:3">
      <c r="B297">
        <f>_xlfn.UNICODE(MID($B$267,30,1))</f>
        <v>0</v>
      </c>
      <c r="C297">
        <f>MOD(MOD(_xlfn.BITXOR(C296,B297),256)*16777216+_xlfn.BITXOR(C296,B297)*403,4294967296)</f>
        <v>0</v>
      </c>
    </row>
    <row r="298" spans="1:3">
      <c r="A298" t="s">
        <v>135</v>
      </c>
      <c r="B298">
        <f>"ape"&amp;Calcul!$B$82&amp;14</f>
        <v>0</v>
      </c>
    </row>
    <row r="299" spans="1:3">
      <c r="B299">
        <f>_xlfn.UNICODE(MID($B$298,1,1))</f>
        <v>0</v>
      </c>
      <c r="C299">
        <f>MOD(MOD(_xlfn.BITXOR(C297,B299),256)*16777216+_xlfn.BITXOR(C297,B299)*403,4294967296)</f>
        <v>0</v>
      </c>
    </row>
    <row r="300" spans="1:3">
      <c r="B300">
        <f>_xlfn.UNICODE(MID($B$298,2,1))</f>
        <v>0</v>
      </c>
      <c r="C300">
        <f>MOD(MOD(_xlfn.BITXOR(C299,B300),256)*16777216+_xlfn.BITXOR(C299,B300)*403,4294967296)</f>
        <v>0</v>
      </c>
    </row>
    <row r="301" spans="1:3">
      <c r="B301">
        <f>_xlfn.UNICODE(MID($B$298,3,1))</f>
        <v>0</v>
      </c>
      <c r="C301">
        <f>MOD(MOD(_xlfn.BITXOR(C300,B301),256)*16777216+_xlfn.BITXOR(C300,B301)*403,4294967296)</f>
        <v>0</v>
      </c>
    </row>
    <row r="302" spans="1:3">
      <c r="B302">
        <f>_xlfn.UNICODE(MID($B$298,4,1))</f>
        <v>0</v>
      </c>
      <c r="C302">
        <f>MOD(MOD(_xlfn.BITXOR(C301,B302),256)*16777216+_xlfn.BITXOR(C301,B302)*403,4294967296)</f>
        <v>0</v>
      </c>
    </row>
    <row r="303" spans="1:3">
      <c r="B303">
        <f>_xlfn.UNICODE(MID($B$298,5,1))</f>
        <v>0</v>
      </c>
      <c r="C303">
        <f>MOD(MOD(_xlfn.BITXOR(C302,B303),256)*16777216+_xlfn.BITXOR(C302,B303)*403,4294967296)</f>
        <v>0</v>
      </c>
    </row>
    <row r="304" spans="1:3">
      <c r="B304">
        <f>_xlfn.UNICODE(MID($B$298,6,1))</f>
        <v>0</v>
      </c>
      <c r="C304">
        <f>MOD(MOD(_xlfn.BITXOR(C303,B304),256)*16777216+_xlfn.BITXOR(C303,B304)*403,4294967296)</f>
        <v>0</v>
      </c>
    </row>
    <row r="305" spans="2:3">
      <c r="B305">
        <f>_xlfn.UNICODE(MID($B$298,7,1))</f>
        <v>0</v>
      </c>
      <c r="C305">
        <f>MOD(MOD(_xlfn.BITXOR(C304,B305),256)*16777216+_xlfn.BITXOR(C304,B305)*403,4294967296)</f>
        <v>0</v>
      </c>
    </row>
    <row r="306" spans="2:3">
      <c r="B306">
        <f>_xlfn.UNICODE(MID($B$298,8,1))</f>
        <v>0</v>
      </c>
      <c r="C306">
        <f>MOD(MOD(_xlfn.BITXOR(C305,B306),256)*16777216+_xlfn.BITXOR(C305,B306)*403,4294967296)</f>
        <v>0</v>
      </c>
    </row>
    <row r="307" spans="2:3">
      <c r="B307">
        <f>_xlfn.UNICODE(MID($B$298,9,1))</f>
        <v>0</v>
      </c>
      <c r="C307">
        <f>MOD(MOD(_xlfn.BITXOR(C306,B307),256)*16777216+_xlfn.BITXOR(C306,B307)*403,4294967296)</f>
        <v>0</v>
      </c>
    </row>
    <row r="308" spans="2:3">
      <c r="B308">
        <f>_xlfn.UNICODE(MID($B$298,10,1))</f>
        <v>0</v>
      </c>
      <c r="C308">
        <f>MOD(MOD(_xlfn.BITXOR(C307,B308),256)*16777216+_xlfn.BITXOR(C307,B308)*403,4294967296)</f>
        <v>0</v>
      </c>
    </row>
    <row r="309" spans="2:3">
      <c r="B309">
        <f>_xlfn.UNICODE(MID($B$298,11,1))</f>
        <v>0</v>
      </c>
      <c r="C309">
        <f>MOD(MOD(_xlfn.BITXOR(C308,B309),256)*16777216+_xlfn.BITXOR(C308,B309)*403,4294967296)</f>
        <v>0</v>
      </c>
    </row>
    <row r="310" spans="2:3">
      <c r="B310">
        <f>_xlfn.UNICODE(MID($B$298,12,1))</f>
        <v>0</v>
      </c>
      <c r="C310">
        <f>MOD(MOD(_xlfn.BITXOR(C309,B310),256)*16777216+_xlfn.BITXOR(C309,B310)*403,4294967296)</f>
        <v>0</v>
      </c>
    </row>
    <row r="311" spans="2:3">
      <c r="B311">
        <f>_xlfn.UNICODE(MID($B$298,13,1))</f>
        <v>0</v>
      </c>
      <c r="C311">
        <f>MOD(MOD(_xlfn.BITXOR(C310,B311),256)*16777216+_xlfn.BITXOR(C310,B311)*403,4294967296)</f>
        <v>0</v>
      </c>
    </row>
    <row r="312" spans="2:3">
      <c r="B312">
        <f>_xlfn.UNICODE(MID($B$298,14,1))</f>
        <v>0</v>
      </c>
      <c r="C312">
        <f>MOD(MOD(_xlfn.BITXOR(C311,B312),256)*16777216+_xlfn.BITXOR(C311,B312)*403,4294967296)</f>
        <v>0</v>
      </c>
    </row>
    <row r="313" spans="2:3">
      <c r="B313">
        <f>_xlfn.UNICODE(MID($B$298,15,1))</f>
        <v>0</v>
      </c>
      <c r="C313">
        <f>MOD(MOD(_xlfn.BITXOR(C312,B313),256)*16777216+_xlfn.BITXOR(C312,B313)*403,4294967296)</f>
        <v>0</v>
      </c>
    </row>
    <row r="314" spans="2:3">
      <c r="B314">
        <f>_xlfn.UNICODE(MID($B$298,16,1))</f>
        <v>0</v>
      </c>
      <c r="C314">
        <f>MOD(MOD(_xlfn.BITXOR(C313,B314),256)*16777216+_xlfn.BITXOR(C313,B314)*403,4294967296)</f>
        <v>0</v>
      </c>
    </row>
    <row r="315" spans="2:3">
      <c r="B315">
        <f>_xlfn.UNICODE(MID($B$298,17,1))</f>
        <v>0</v>
      </c>
      <c r="C315">
        <f>MOD(MOD(_xlfn.BITXOR(C314,B315),256)*16777216+_xlfn.BITXOR(C314,B315)*403,4294967296)</f>
        <v>0</v>
      </c>
    </row>
    <row r="316" spans="2:3">
      <c r="B316">
        <f>_xlfn.UNICODE(MID($B$298,18,1))</f>
        <v>0</v>
      </c>
      <c r="C316">
        <f>MOD(MOD(_xlfn.BITXOR(C315,B316),256)*16777216+_xlfn.BITXOR(C315,B316)*403,4294967296)</f>
        <v>0</v>
      </c>
    </row>
    <row r="317" spans="2:3">
      <c r="B317">
        <f>_xlfn.UNICODE(MID($B$298,19,1))</f>
        <v>0</v>
      </c>
      <c r="C317">
        <f>MOD(MOD(_xlfn.BITXOR(C316,B317),256)*16777216+_xlfn.BITXOR(C316,B317)*403,4294967296)</f>
        <v>0</v>
      </c>
    </row>
    <row r="318" spans="2:3">
      <c r="B318">
        <f>_xlfn.UNICODE(MID($B$298,20,1))</f>
        <v>0</v>
      </c>
      <c r="C318">
        <f>MOD(MOD(_xlfn.BITXOR(C317,B318),256)*16777216+_xlfn.BITXOR(C317,B318)*403,4294967296)</f>
        <v>0</v>
      </c>
    </row>
    <row r="319" spans="2:3">
      <c r="B319">
        <f>_xlfn.UNICODE(MID($B$298,21,1))</f>
        <v>0</v>
      </c>
      <c r="C319">
        <f>MOD(MOD(_xlfn.BITXOR(C318,B319),256)*16777216+_xlfn.BITXOR(C318,B319)*403,4294967296)</f>
        <v>0</v>
      </c>
    </row>
    <row r="320" spans="2:3">
      <c r="B320">
        <f>_xlfn.UNICODE(MID($B$298,22,1))</f>
        <v>0</v>
      </c>
      <c r="C320">
        <f>MOD(MOD(_xlfn.BITXOR(C319,B320),256)*16777216+_xlfn.BITXOR(C319,B320)*403,4294967296)</f>
        <v>0</v>
      </c>
    </row>
    <row r="321" spans="1:3">
      <c r="B321">
        <f>_xlfn.UNICODE(MID($B$298,23,1))</f>
        <v>0</v>
      </c>
      <c r="C321">
        <f>MOD(MOD(_xlfn.BITXOR(C320,B321),256)*16777216+_xlfn.BITXOR(C320,B321)*403,4294967296)</f>
        <v>0</v>
      </c>
    </row>
    <row r="322" spans="1:3">
      <c r="B322">
        <f>_xlfn.UNICODE(MID($B$298,24,1))</f>
        <v>0</v>
      </c>
      <c r="C322">
        <f>MOD(MOD(_xlfn.BITXOR(C321,B322),256)*16777216+_xlfn.BITXOR(C321,B322)*403,4294967296)</f>
        <v>0</v>
      </c>
    </row>
    <row r="323" spans="1:3">
      <c r="B323">
        <f>_xlfn.UNICODE(MID($B$298,25,1))</f>
        <v>0</v>
      </c>
      <c r="C323">
        <f>MOD(MOD(_xlfn.BITXOR(C322,B323),256)*16777216+_xlfn.BITXOR(C322,B323)*403,4294967296)</f>
        <v>0</v>
      </c>
    </row>
    <row r="324" spans="1:3">
      <c r="B324">
        <f>_xlfn.UNICODE(MID($B$298,26,1))</f>
        <v>0</v>
      </c>
      <c r="C324">
        <f>MOD(MOD(_xlfn.BITXOR(C323,B324),256)*16777216+_xlfn.BITXOR(C323,B324)*403,4294967296)</f>
        <v>0</v>
      </c>
    </row>
    <row r="325" spans="1:3">
      <c r="B325">
        <f>_xlfn.UNICODE(MID($B$298,27,1))</f>
        <v>0</v>
      </c>
      <c r="C325">
        <f>MOD(MOD(_xlfn.BITXOR(C324,B325),256)*16777216+_xlfn.BITXOR(C324,B325)*403,4294967296)</f>
        <v>0</v>
      </c>
    </row>
    <row r="326" spans="1:3">
      <c r="B326">
        <f>_xlfn.UNICODE(MID($B$298,28,1))</f>
        <v>0</v>
      </c>
      <c r="C326">
        <f>MOD(MOD(_xlfn.BITXOR(C325,B326),256)*16777216+_xlfn.BITXOR(C325,B326)*403,4294967296)</f>
        <v>0</v>
      </c>
    </row>
    <row r="327" spans="1:3">
      <c r="B327">
        <f>_xlfn.UNICODE(MID($B$298,29,1))</f>
        <v>0</v>
      </c>
      <c r="C327">
        <f>MOD(MOD(_xlfn.BITXOR(C326,B327),256)*16777216+_xlfn.BITXOR(C326,B327)*403,4294967296)</f>
        <v>0</v>
      </c>
    </row>
    <row r="328" spans="1:3">
      <c r="B328">
        <f>_xlfn.UNICODE(MID($B$298,30,1))</f>
        <v>0</v>
      </c>
      <c r="C328">
        <f>MOD(MOD(_xlfn.BITXOR(C327,B328),256)*16777216+_xlfn.BITXOR(C327,B328)*403,4294967296)</f>
        <v>0</v>
      </c>
    </row>
    <row r="329" spans="1:3">
      <c r="A329" t="s">
        <v>136</v>
      </c>
      <c r="B329">
        <f>LEFT(MID('Paramètres'!$D$2,MOD(C115,32)+1,1)&amp;MID('Paramètres'!$D$2,MOD(INT(C115/32),32)+1,1)&amp;MID('Paramètres'!$D$2,MOD(C145,32)+1,1)&amp;MID('Paramètres'!$D$2,MOD(INT(C145/32),32)+1,1)&amp;MID('Paramètres'!$D$2,MOD(C175,32)+1,1)&amp;MID('Paramètres'!$D$2,MOD(INT(C175/32),32)+1,1)&amp;MID('Paramètres'!$D$2,MOD(C205,32)+1,1)&amp;MID('Paramètres'!$D$2,MOD(INT(C205/32),32)+1,1)&amp;MID('Paramètres'!$D$2,MOD(C235,32)+1,1)&amp;MID('Paramètres'!$D$2,MOD(INT(C235/32),32)+1,1)&amp;MID('Paramètres'!$D$2,MOD(C266,32)+1,1)&amp;MID('Paramètres'!$D$2,MOD(INT(C266/32),32)+1,1)&amp;MID('Paramètres'!$D$2,MOD(C297,32)+1,1)&amp;MID('Paramètres'!$D$2,MOD(INT(C297/32),32)+1,1)&amp;MID('Paramètres'!$D$2,MOD(C328,32)+1,1)&amp;MID('Paramètres'!$D$2,MOD(INT(C328/32),32)+1,1),15)</f>
        <v>0</v>
      </c>
    </row>
    <row r="331" spans="1:3">
      <c r="A331" s="6" t="s">
        <v>137</v>
      </c>
    </row>
    <row r="332" spans="1:3">
      <c r="A332" t="s">
        <v>128</v>
      </c>
      <c r="B332">
        <f>"dzi"&amp;Calcul!$B$82&amp;0</f>
        <v>0</v>
      </c>
    </row>
    <row r="333" spans="1:3">
      <c r="B333">
        <f>_xlfn.UNICODE(MID($B$332,1,1))</f>
        <v>0</v>
      </c>
      <c r="C333">
        <f>MOD(MOD(_xlfn.BITXOR(2166136261,B333),256)*16777216+_xlfn.BITXOR(2166136261,B333)*403,4294967296)</f>
        <v>0</v>
      </c>
    </row>
    <row r="334" spans="1:3">
      <c r="B334">
        <f>_xlfn.UNICODE(MID($B$332,2,1))</f>
        <v>0</v>
      </c>
      <c r="C334">
        <f>MOD(MOD(_xlfn.BITXOR(C333,B334),256)*16777216+_xlfn.BITXOR(C333,B334)*403,4294967296)</f>
        <v>0</v>
      </c>
    </row>
    <row r="335" spans="1:3">
      <c r="B335">
        <f>_xlfn.UNICODE(MID($B$332,3,1))</f>
        <v>0</v>
      </c>
      <c r="C335">
        <f>MOD(MOD(_xlfn.BITXOR(C334,B335),256)*16777216+_xlfn.BITXOR(C334,B335)*403,4294967296)</f>
        <v>0</v>
      </c>
    </row>
    <row r="336" spans="1:3">
      <c r="B336">
        <f>_xlfn.UNICODE(MID($B$332,4,1))</f>
        <v>0</v>
      </c>
      <c r="C336">
        <f>MOD(MOD(_xlfn.BITXOR(C335,B336),256)*16777216+_xlfn.BITXOR(C335,B336)*403,4294967296)</f>
        <v>0</v>
      </c>
    </row>
    <row r="337" spans="2:3">
      <c r="B337">
        <f>_xlfn.UNICODE(MID($B$332,5,1))</f>
        <v>0</v>
      </c>
      <c r="C337">
        <f>MOD(MOD(_xlfn.BITXOR(C336,B337),256)*16777216+_xlfn.BITXOR(C336,B337)*403,4294967296)</f>
        <v>0</v>
      </c>
    </row>
    <row r="338" spans="2:3">
      <c r="B338">
        <f>_xlfn.UNICODE(MID($B$332,6,1))</f>
        <v>0</v>
      </c>
      <c r="C338">
        <f>MOD(MOD(_xlfn.BITXOR(C337,B338),256)*16777216+_xlfn.BITXOR(C337,B338)*403,4294967296)</f>
        <v>0</v>
      </c>
    </row>
    <row r="339" spans="2:3">
      <c r="B339">
        <f>_xlfn.UNICODE(MID($B$332,7,1))</f>
        <v>0</v>
      </c>
      <c r="C339">
        <f>MOD(MOD(_xlfn.BITXOR(C338,B339),256)*16777216+_xlfn.BITXOR(C338,B339)*403,4294967296)</f>
        <v>0</v>
      </c>
    </row>
    <row r="340" spans="2:3">
      <c r="B340">
        <f>_xlfn.UNICODE(MID($B$332,8,1))</f>
        <v>0</v>
      </c>
      <c r="C340">
        <f>MOD(MOD(_xlfn.BITXOR(C339,B340),256)*16777216+_xlfn.BITXOR(C339,B340)*403,4294967296)</f>
        <v>0</v>
      </c>
    </row>
    <row r="341" spans="2:3">
      <c r="B341">
        <f>_xlfn.UNICODE(MID($B$332,9,1))</f>
        <v>0</v>
      </c>
      <c r="C341">
        <f>MOD(MOD(_xlfn.BITXOR(C340,B341),256)*16777216+_xlfn.BITXOR(C340,B341)*403,4294967296)</f>
        <v>0</v>
      </c>
    </row>
    <row r="342" spans="2:3">
      <c r="B342">
        <f>_xlfn.UNICODE(MID($B$332,10,1))</f>
        <v>0</v>
      </c>
      <c r="C342">
        <f>MOD(MOD(_xlfn.BITXOR(C341,B342),256)*16777216+_xlfn.BITXOR(C341,B342)*403,4294967296)</f>
        <v>0</v>
      </c>
    </row>
    <row r="343" spans="2:3">
      <c r="B343">
        <f>_xlfn.UNICODE(MID($B$332,11,1))</f>
        <v>0</v>
      </c>
      <c r="C343">
        <f>MOD(MOD(_xlfn.BITXOR(C342,B343),256)*16777216+_xlfn.BITXOR(C342,B343)*403,4294967296)</f>
        <v>0</v>
      </c>
    </row>
    <row r="344" spans="2:3">
      <c r="B344">
        <f>_xlfn.UNICODE(MID($B$332,12,1))</f>
        <v>0</v>
      </c>
      <c r="C344">
        <f>MOD(MOD(_xlfn.BITXOR(C343,B344),256)*16777216+_xlfn.BITXOR(C343,B344)*403,4294967296)</f>
        <v>0</v>
      </c>
    </row>
    <row r="345" spans="2:3">
      <c r="B345">
        <f>_xlfn.UNICODE(MID($B$332,13,1))</f>
        <v>0</v>
      </c>
      <c r="C345">
        <f>MOD(MOD(_xlfn.BITXOR(C344,B345),256)*16777216+_xlfn.BITXOR(C344,B345)*403,4294967296)</f>
        <v>0</v>
      </c>
    </row>
    <row r="346" spans="2:3">
      <c r="B346">
        <f>_xlfn.UNICODE(MID($B$332,14,1))</f>
        <v>0</v>
      </c>
      <c r="C346">
        <f>MOD(MOD(_xlfn.BITXOR(C345,B346),256)*16777216+_xlfn.BITXOR(C345,B346)*403,4294967296)</f>
        <v>0</v>
      </c>
    </row>
    <row r="347" spans="2:3">
      <c r="B347">
        <f>_xlfn.UNICODE(MID($B$332,15,1))</f>
        <v>0</v>
      </c>
      <c r="C347">
        <f>MOD(MOD(_xlfn.BITXOR(C346,B347),256)*16777216+_xlfn.BITXOR(C346,B347)*403,4294967296)</f>
        <v>0</v>
      </c>
    </row>
    <row r="348" spans="2:3">
      <c r="B348">
        <f>_xlfn.UNICODE(MID($B$332,16,1))</f>
        <v>0</v>
      </c>
      <c r="C348">
        <f>MOD(MOD(_xlfn.BITXOR(C347,B348),256)*16777216+_xlfn.BITXOR(C347,B348)*403,4294967296)</f>
        <v>0</v>
      </c>
    </row>
    <row r="349" spans="2:3">
      <c r="B349">
        <f>_xlfn.UNICODE(MID($B$332,17,1))</f>
        <v>0</v>
      </c>
      <c r="C349">
        <f>MOD(MOD(_xlfn.BITXOR(C348,B349),256)*16777216+_xlfn.BITXOR(C348,B349)*403,4294967296)</f>
        <v>0</v>
      </c>
    </row>
    <row r="350" spans="2:3">
      <c r="B350">
        <f>_xlfn.UNICODE(MID($B$332,18,1))</f>
        <v>0</v>
      </c>
      <c r="C350">
        <f>MOD(MOD(_xlfn.BITXOR(C349,B350),256)*16777216+_xlfn.BITXOR(C349,B350)*403,4294967296)</f>
        <v>0</v>
      </c>
    </row>
    <row r="351" spans="2:3">
      <c r="B351">
        <f>_xlfn.UNICODE(MID($B$332,19,1))</f>
        <v>0</v>
      </c>
      <c r="C351">
        <f>MOD(MOD(_xlfn.BITXOR(C350,B351),256)*16777216+_xlfn.BITXOR(C350,B351)*403,4294967296)</f>
        <v>0</v>
      </c>
    </row>
    <row r="352" spans="2:3">
      <c r="B352">
        <f>_xlfn.UNICODE(MID($B$332,20,1))</f>
        <v>0</v>
      </c>
      <c r="C352">
        <f>MOD(MOD(_xlfn.BITXOR(C351,B352),256)*16777216+_xlfn.BITXOR(C351,B352)*403,4294967296)</f>
        <v>0</v>
      </c>
    </row>
    <row r="353" spans="1:3">
      <c r="B353">
        <f>_xlfn.UNICODE(MID($B$332,21,1))</f>
        <v>0</v>
      </c>
      <c r="C353">
        <f>MOD(MOD(_xlfn.BITXOR(C352,B353),256)*16777216+_xlfn.BITXOR(C352,B353)*403,4294967296)</f>
        <v>0</v>
      </c>
    </row>
    <row r="354" spans="1:3">
      <c r="B354">
        <f>_xlfn.UNICODE(MID($B$332,22,1))</f>
        <v>0</v>
      </c>
      <c r="C354">
        <f>MOD(MOD(_xlfn.BITXOR(C353,B354),256)*16777216+_xlfn.BITXOR(C353,B354)*403,4294967296)</f>
        <v>0</v>
      </c>
    </row>
    <row r="355" spans="1:3">
      <c r="B355">
        <f>_xlfn.UNICODE(MID($B$332,23,1))</f>
        <v>0</v>
      </c>
      <c r="C355">
        <f>MOD(MOD(_xlfn.BITXOR(C354,B355),256)*16777216+_xlfn.BITXOR(C354,B355)*403,4294967296)</f>
        <v>0</v>
      </c>
    </row>
    <row r="356" spans="1:3">
      <c r="B356">
        <f>_xlfn.UNICODE(MID($B$332,24,1))</f>
        <v>0</v>
      </c>
      <c r="C356">
        <f>MOD(MOD(_xlfn.BITXOR(C355,B356),256)*16777216+_xlfn.BITXOR(C355,B356)*403,4294967296)</f>
        <v>0</v>
      </c>
    </row>
    <row r="357" spans="1:3">
      <c r="B357">
        <f>_xlfn.UNICODE(MID($B$332,25,1))</f>
        <v>0</v>
      </c>
      <c r="C357">
        <f>MOD(MOD(_xlfn.BITXOR(C356,B357),256)*16777216+_xlfn.BITXOR(C356,B357)*403,4294967296)</f>
        <v>0</v>
      </c>
    </row>
    <row r="358" spans="1:3">
      <c r="B358">
        <f>_xlfn.UNICODE(MID($B$332,26,1))</f>
        <v>0</v>
      </c>
      <c r="C358">
        <f>MOD(MOD(_xlfn.BITXOR(C357,B358),256)*16777216+_xlfn.BITXOR(C357,B358)*403,4294967296)</f>
        <v>0</v>
      </c>
    </row>
    <row r="359" spans="1:3">
      <c r="B359">
        <f>_xlfn.UNICODE(MID($B$332,27,1))</f>
        <v>0</v>
      </c>
      <c r="C359">
        <f>MOD(MOD(_xlfn.BITXOR(C358,B359),256)*16777216+_xlfn.BITXOR(C358,B359)*403,4294967296)</f>
        <v>0</v>
      </c>
    </row>
    <row r="360" spans="1:3">
      <c r="B360">
        <f>_xlfn.UNICODE(MID($B$332,28,1))</f>
        <v>0</v>
      </c>
      <c r="C360">
        <f>MOD(MOD(_xlfn.BITXOR(C359,B360),256)*16777216+_xlfn.BITXOR(C359,B360)*403,4294967296)</f>
        <v>0</v>
      </c>
    </row>
    <row r="361" spans="1:3">
      <c r="B361">
        <f>_xlfn.UNICODE(MID($B$332,29,1))</f>
        <v>0</v>
      </c>
      <c r="C361">
        <f>MOD(MOD(_xlfn.BITXOR(C360,B361),256)*16777216+_xlfn.BITXOR(C360,B361)*403,4294967296)</f>
        <v>0</v>
      </c>
    </row>
    <row r="362" spans="1:3">
      <c r="A362" t="s">
        <v>129</v>
      </c>
      <c r="B362">
        <f>"dzi"&amp;Calcul!$B$82&amp;2</f>
        <v>0</v>
      </c>
    </row>
    <row r="363" spans="1:3">
      <c r="B363">
        <f>_xlfn.UNICODE(MID($B$362,1,1))</f>
        <v>0</v>
      </c>
      <c r="C363">
        <f>MOD(MOD(_xlfn.BITXOR(C361,B363),256)*16777216+_xlfn.BITXOR(C361,B363)*403,4294967296)</f>
        <v>0</v>
      </c>
    </row>
    <row r="364" spans="1:3">
      <c r="B364">
        <f>_xlfn.UNICODE(MID($B$362,2,1))</f>
        <v>0</v>
      </c>
      <c r="C364">
        <f>MOD(MOD(_xlfn.BITXOR(C363,B364),256)*16777216+_xlfn.BITXOR(C363,B364)*403,4294967296)</f>
        <v>0</v>
      </c>
    </row>
    <row r="365" spans="1:3">
      <c r="B365">
        <f>_xlfn.UNICODE(MID($B$362,3,1))</f>
        <v>0</v>
      </c>
      <c r="C365">
        <f>MOD(MOD(_xlfn.BITXOR(C364,B365),256)*16777216+_xlfn.BITXOR(C364,B365)*403,4294967296)</f>
        <v>0</v>
      </c>
    </row>
    <row r="366" spans="1:3">
      <c r="B366">
        <f>_xlfn.UNICODE(MID($B$362,4,1))</f>
        <v>0</v>
      </c>
      <c r="C366">
        <f>MOD(MOD(_xlfn.BITXOR(C365,B366),256)*16777216+_xlfn.BITXOR(C365,B366)*403,4294967296)</f>
        <v>0</v>
      </c>
    </row>
    <row r="367" spans="1:3">
      <c r="B367">
        <f>_xlfn.UNICODE(MID($B$362,5,1))</f>
        <v>0</v>
      </c>
      <c r="C367">
        <f>MOD(MOD(_xlfn.BITXOR(C366,B367),256)*16777216+_xlfn.BITXOR(C366,B367)*403,4294967296)</f>
        <v>0</v>
      </c>
    </row>
    <row r="368" spans="1:3">
      <c r="B368">
        <f>_xlfn.UNICODE(MID($B$362,6,1))</f>
        <v>0</v>
      </c>
      <c r="C368">
        <f>MOD(MOD(_xlfn.BITXOR(C367,B368),256)*16777216+_xlfn.BITXOR(C367,B368)*403,4294967296)</f>
        <v>0</v>
      </c>
    </row>
    <row r="369" spans="2:3">
      <c r="B369">
        <f>_xlfn.UNICODE(MID($B$362,7,1))</f>
        <v>0</v>
      </c>
      <c r="C369">
        <f>MOD(MOD(_xlfn.BITXOR(C368,B369),256)*16777216+_xlfn.BITXOR(C368,B369)*403,4294967296)</f>
        <v>0</v>
      </c>
    </row>
    <row r="370" spans="2:3">
      <c r="B370">
        <f>_xlfn.UNICODE(MID($B$362,8,1))</f>
        <v>0</v>
      </c>
      <c r="C370">
        <f>MOD(MOD(_xlfn.BITXOR(C369,B370),256)*16777216+_xlfn.BITXOR(C369,B370)*403,4294967296)</f>
        <v>0</v>
      </c>
    </row>
    <row r="371" spans="2:3">
      <c r="B371">
        <f>_xlfn.UNICODE(MID($B$362,9,1))</f>
        <v>0</v>
      </c>
      <c r="C371">
        <f>MOD(MOD(_xlfn.BITXOR(C370,B371),256)*16777216+_xlfn.BITXOR(C370,B371)*403,4294967296)</f>
        <v>0</v>
      </c>
    </row>
    <row r="372" spans="2:3">
      <c r="B372">
        <f>_xlfn.UNICODE(MID($B$362,10,1))</f>
        <v>0</v>
      </c>
      <c r="C372">
        <f>MOD(MOD(_xlfn.BITXOR(C371,B372),256)*16777216+_xlfn.BITXOR(C371,B372)*403,4294967296)</f>
        <v>0</v>
      </c>
    </row>
    <row r="373" spans="2:3">
      <c r="B373">
        <f>_xlfn.UNICODE(MID($B$362,11,1))</f>
        <v>0</v>
      </c>
      <c r="C373">
        <f>MOD(MOD(_xlfn.BITXOR(C372,B373),256)*16777216+_xlfn.BITXOR(C372,B373)*403,4294967296)</f>
        <v>0</v>
      </c>
    </row>
    <row r="374" spans="2:3">
      <c r="B374">
        <f>_xlfn.UNICODE(MID($B$362,12,1))</f>
        <v>0</v>
      </c>
      <c r="C374">
        <f>MOD(MOD(_xlfn.BITXOR(C373,B374),256)*16777216+_xlfn.BITXOR(C373,B374)*403,4294967296)</f>
        <v>0</v>
      </c>
    </row>
    <row r="375" spans="2:3">
      <c r="B375">
        <f>_xlfn.UNICODE(MID($B$362,13,1))</f>
        <v>0</v>
      </c>
      <c r="C375">
        <f>MOD(MOD(_xlfn.BITXOR(C374,B375),256)*16777216+_xlfn.BITXOR(C374,B375)*403,4294967296)</f>
        <v>0</v>
      </c>
    </row>
    <row r="376" spans="2:3">
      <c r="B376">
        <f>_xlfn.UNICODE(MID($B$362,14,1))</f>
        <v>0</v>
      </c>
      <c r="C376">
        <f>MOD(MOD(_xlfn.BITXOR(C375,B376),256)*16777216+_xlfn.BITXOR(C375,B376)*403,4294967296)</f>
        <v>0</v>
      </c>
    </row>
    <row r="377" spans="2:3">
      <c r="B377">
        <f>_xlfn.UNICODE(MID($B$362,15,1))</f>
        <v>0</v>
      </c>
      <c r="C377">
        <f>MOD(MOD(_xlfn.BITXOR(C376,B377),256)*16777216+_xlfn.BITXOR(C376,B377)*403,4294967296)</f>
        <v>0</v>
      </c>
    </row>
    <row r="378" spans="2:3">
      <c r="B378">
        <f>_xlfn.UNICODE(MID($B$362,16,1))</f>
        <v>0</v>
      </c>
      <c r="C378">
        <f>MOD(MOD(_xlfn.BITXOR(C377,B378),256)*16777216+_xlfn.BITXOR(C377,B378)*403,4294967296)</f>
        <v>0</v>
      </c>
    </row>
    <row r="379" spans="2:3">
      <c r="B379">
        <f>_xlfn.UNICODE(MID($B$362,17,1))</f>
        <v>0</v>
      </c>
      <c r="C379">
        <f>MOD(MOD(_xlfn.BITXOR(C378,B379),256)*16777216+_xlfn.BITXOR(C378,B379)*403,4294967296)</f>
        <v>0</v>
      </c>
    </row>
    <row r="380" spans="2:3">
      <c r="B380">
        <f>_xlfn.UNICODE(MID($B$362,18,1))</f>
        <v>0</v>
      </c>
      <c r="C380">
        <f>MOD(MOD(_xlfn.BITXOR(C379,B380),256)*16777216+_xlfn.BITXOR(C379,B380)*403,4294967296)</f>
        <v>0</v>
      </c>
    </row>
    <row r="381" spans="2:3">
      <c r="B381">
        <f>_xlfn.UNICODE(MID($B$362,19,1))</f>
        <v>0</v>
      </c>
      <c r="C381">
        <f>MOD(MOD(_xlfn.BITXOR(C380,B381),256)*16777216+_xlfn.BITXOR(C380,B381)*403,4294967296)</f>
        <v>0</v>
      </c>
    </row>
    <row r="382" spans="2:3">
      <c r="B382">
        <f>_xlfn.UNICODE(MID($B$362,20,1))</f>
        <v>0</v>
      </c>
      <c r="C382">
        <f>MOD(MOD(_xlfn.BITXOR(C381,B382),256)*16777216+_xlfn.BITXOR(C381,B382)*403,4294967296)</f>
        <v>0</v>
      </c>
    </row>
    <row r="383" spans="2:3">
      <c r="B383">
        <f>_xlfn.UNICODE(MID($B$362,21,1))</f>
        <v>0</v>
      </c>
      <c r="C383">
        <f>MOD(MOD(_xlfn.BITXOR(C382,B383),256)*16777216+_xlfn.BITXOR(C382,B383)*403,4294967296)</f>
        <v>0</v>
      </c>
    </row>
    <row r="384" spans="2:3">
      <c r="B384">
        <f>_xlfn.UNICODE(MID($B$362,22,1))</f>
        <v>0</v>
      </c>
      <c r="C384">
        <f>MOD(MOD(_xlfn.BITXOR(C383,B384),256)*16777216+_xlfn.BITXOR(C383,B384)*403,4294967296)</f>
        <v>0</v>
      </c>
    </row>
    <row r="385" spans="1:3">
      <c r="B385">
        <f>_xlfn.UNICODE(MID($B$362,23,1))</f>
        <v>0</v>
      </c>
      <c r="C385">
        <f>MOD(MOD(_xlfn.BITXOR(C384,B385),256)*16777216+_xlfn.BITXOR(C384,B385)*403,4294967296)</f>
        <v>0</v>
      </c>
    </row>
    <row r="386" spans="1:3">
      <c r="B386">
        <f>_xlfn.UNICODE(MID($B$362,24,1))</f>
        <v>0</v>
      </c>
      <c r="C386">
        <f>MOD(MOD(_xlfn.BITXOR(C385,B386),256)*16777216+_xlfn.BITXOR(C385,B386)*403,4294967296)</f>
        <v>0</v>
      </c>
    </row>
    <row r="387" spans="1:3">
      <c r="B387">
        <f>_xlfn.UNICODE(MID($B$362,25,1))</f>
        <v>0</v>
      </c>
      <c r="C387">
        <f>MOD(MOD(_xlfn.BITXOR(C386,B387),256)*16777216+_xlfn.BITXOR(C386,B387)*403,4294967296)</f>
        <v>0</v>
      </c>
    </row>
    <row r="388" spans="1:3">
      <c r="B388">
        <f>_xlfn.UNICODE(MID($B$362,26,1))</f>
        <v>0</v>
      </c>
      <c r="C388">
        <f>MOD(MOD(_xlfn.BITXOR(C387,B388),256)*16777216+_xlfn.BITXOR(C387,B388)*403,4294967296)</f>
        <v>0</v>
      </c>
    </row>
    <row r="389" spans="1:3">
      <c r="B389">
        <f>_xlfn.UNICODE(MID($B$362,27,1))</f>
        <v>0</v>
      </c>
      <c r="C389">
        <f>MOD(MOD(_xlfn.BITXOR(C388,B389),256)*16777216+_xlfn.BITXOR(C388,B389)*403,4294967296)</f>
        <v>0</v>
      </c>
    </row>
    <row r="390" spans="1:3">
      <c r="B390">
        <f>_xlfn.UNICODE(MID($B$362,28,1))</f>
        <v>0</v>
      </c>
      <c r="C390">
        <f>MOD(MOD(_xlfn.BITXOR(C389,B390),256)*16777216+_xlfn.BITXOR(C389,B390)*403,4294967296)</f>
        <v>0</v>
      </c>
    </row>
    <row r="391" spans="1:3">
      <c r="B391">
        <f>_xlfn.UNICODE(MID($B$362,29,1))</f>
        <v>0</v>
      </c>
      <c r="C391">
        <f>MOD(MOD(_xlfn.BITXOR(C390,B391),256)*16777216+_xlfn.BITXOR(C390,B391)*403,4294967296)</f>
        <v>0</v>
      </c>
    </row>
    <row r="392" spans="1:3">
      <c r="A392" t="s">
        <v>130</v>
      </c>
      <c r="B392">
        <f>"dzi"&amp;Calcul!$B$82&amp;4</f>
        <v>0</v>
      </c>
    </row>
    <row r="393" spans="1:3">
      <c r="B393">
        <f>_xlfn.UNICODE(MID($B$392,1,1))</f>
        <v>0</v>
      </c>
      <c r="C393">
        <f>MOD(MOD(_xlfn.BITXOR(C391,B393),256)*16777216+_xlfn.BITXOR(C391,B393)*403,4294967296)</f>
        <v>0</v>
      </c>
    </row>
    <row r="394" spans="1:3">
      <c r="B394">
        <f>_xlfn.UNICODE(MID($B$392,2,1))</f>
        <v>0</v>
      </c>
      <c r="C394">
        <f>MOD(MOD(_xlfn.BITXOR(C393,B394),256)*16777216+_xlfn.BITXOR(C393,B394)*403,4294967296)</f>
        <v>0</v>
      </c>
    </row>
    <row r="395" spans="1:3">
      <c r="B395">
        <f>_xlfn.UNICODE(MID($B$392,3,1))</f>
        <v>0</v>
      </c>
      <c r="C395">
        <f>MOD(MOD(_xlfn.BITXOR(C394,B395),256)*16777216+_xlfn.BITXOR(C394,B395)*403,4294967296)</f>
        <v>0</v>
      </c>
    </row>
    <row r="396" spans="1:3">
      <c r="B396">
        <f>_xlfn.UNICODE(MID($B$392,4,1))</f>
        <v>0</v>
      </c>
      <c r="C396">
        <f>MOD(MOD(_xlfn.BITXOR(C395,B396),256)*16777216+_xlfn.BITXOR(C395,B396)*403,4294967296)</f>
        <v>0</v>
      </c>
    </row>
    <row r="397" spans="1:3">
      <c r="B397">
        <f>_xlfn.UNICODE(MID($B$392,5,1))</f>
        <v>0</v>
      </c>
      <c r="C397">
        <f>MOD(MOD(_xlfn.BITXOR(C396,B397),256)*16777216+_xlfn.BITXOR(C396,B397)*403,4294967296)</f>
        <v>0</v>
      </c>
    </row>
    <row r="398" spans="1:3">
      <c r="B398">
        <f>_xlfn.UNICODE(MID($B$392,6,1))</f>
        <v>0</v>
      </c>
      <c r="C398">
        <f>MOD(MOD(_xlfn.BITXOR(C397,B398),256)*16777216+_xlfn.BITXOR(C397,B398)*403,4294967296)</f>
        <v>0</v>
      </c>
    </row>
    <row r="399" spans="1:3">
      <c r="B399">
        <f>_xlfn.UNICODE(MID($B$392,7,1))</f>
        <v>0</v>
      </c>
      <c r="C399">
        <f>MOD(MOD(_xlfn.BITXOR(C398,B399),256)*16777216+_xlfn.BITXOR(C398,B399)*403,4294967296)</f>
        <v>0</v>
      </c>
    </row>
    <row r="400" spans="1:3">
      <c r="B400">
        <f>_xlfn.UNICODE(MID($B$392,8,1))</f>
        <v>0</v>
      </c>
      <c r="C400">
        <f>MOD(MOD(_xlfn.BITXOR(C399,B400),256)*16777216+_xlfn.BITXOR(C399,B400)*403,4294967296)</f>
        <v>0</v>
      </c>
    </row>
    <row r="401" spans="2:3">
      <c r="B401">
        <f>_xlfn.UNICODE(MID($B$392,9,1))</f>
        <v>0</v>
      </c>
      <c r="C401">
        <f>MOD(MOD(_xlfn.BITXOR(C400,B401),256)*16777216+_xlfn.BITXOR(C400,B401)*403,4294967296)</f>
        <v>0</v>
      </c>
    </row>
    <row r="402" spans="2:3">
      <c r="B402">
        <f>_xlfn.UNICODE(MID($B$392,10,1))</f>
        <v>0</v>
      </c>
      <c r="C402">
        <f>MOD(MOD(_xlfn.BITXOR(C401,B402),256)*16777216+_xlfn.BITXOR(C401,B402)*403,4294967296)</f>
        <v>0</v>
      </c>
    </row>
    <row r="403" spans="2:3">
      <c r="B403">
        <f>_xlfn.UNICODE(MID($B$392,11,1))</f>
        <v>0</v>
      </c>
      <c r="C403">
        <f>MOD(MOD(_xlfn.BITXOR(C402,B403),256)*16777216+_xlfn.BITXOR(C402,B403)*403,4294967296)</f>
        <v>0</v>
      </c>
    </row>
    <row r="404" spans="2:3">
      <c r="B404">
        <f>_xlfn.UNICODE(MID($B$392,12,1))</f>
        <v>0</v>
      </c>
      <c r="C404">
        <f>MOD(MOD(_xlfn.BITXOR(C403,B404),256)*16777216+_xlfn.BITXOR(C403,B404)*403,4294967296)</f>
        <v>0</v>
      </c>
    </row>
    <row r="405" spans="2:3">
      <c r="B405">
        <f>_xlfn.UNICODE(MID($B$392,13,1))</f>
        <v>0</v>
      </c>
      <c r="C405">
        <f>MOD(MOD(_xlfn.BITXOR(C404,B405),256)*16777216+_xlfn.BITXOR(C404,B405)*403,4294967296)</f>
        <v>0</v>
      </c>
    </row>
    <row r="406" spans="2:3">
      <c r="B406">
        <f>_xlfn.UNICODE(MID($B$392,14,1))</f>
        <v>0</v>
      </c>
      <c r="C406">
        <f>MOD(MOD(_xlfn.BITXOR(C405,B406),256)*16777216+_xlfn.BITXOR(C405,B406)*403,4294967296)</f>
        <v>0</v>
      </c>
    </row>
    <row r="407" spans="2:3">
      <c r="B407">
        <f>_xlfn.UNICODE(MID($B$392,15,1))</f>
        <v>0</v>
      </c>
      <c r="C407">
        <f>MOD(MOD(_xlfn.BITXOR(C406,B407),256)*16777216+_xlfn.BITXOR(C406,B407)*403,4294967296)</f>
        <v>0</v>
      </c>
    </row>
    <row r="408" spans="2:3">
      <c r="B408">
        <f>_xlfn.UNICODE(MID($B$392,16,1))</f>
        <v>0</v>
      </c>
      <c r="C408">
        <f>MOD(MOD(_xlfn.BITXOR(C407,B408),256)*16777216+_xlfn.BITXOR(C407,B408)*403,4294967296)</f>
        <v>0</v>
      </c>
    </row>
    <row r="409" spans="2:3">
      <c r="B409">
        <f>_xlfn.UNICODE(MID($B$392,17,1))</f>
        <v>0</v>
      </c>
      <c r="C409">
        <f>MOD(MOD(_xlfn.BITXOR(C408,B409),256)*16777216+_xlfn.BITXOR(C408,B409)*403,4294967296)</f>
        <v>0</v>
      </c>
    </row>
    <row r="410" spans="2:3">
      <c r="B410">
        <f>_xlfn.UNICODE(MID($B$392,18,1))</f>
        <v>0</v>
      </c>
      <c r="C410">
        <f>MOD(MOD(_xlfn.BITXOR(C409,B410),256)*16777216+_xlfn.BITXOR(C409,B410)*403,4294967296)</f>
        <v>0</v>
      </c>
    </row>
    <row r="411" spans="2:3">
      <c r="B411">
        <f>_xlfn.UNICODE(MID($B$392,19,1))</f>
        <v>0</v>
      </c>
      <c r="C411">
        <f>MOD(MOD(_xlfn.BITXOR(C410,B411),256)*16777216+_xlfn.BITXOR(C410,B411)*403,4294967296)</f>
        <v>0</v>
      </c>
    </row>
    <row r="412" spans="2:3">
      <c r="B412">
        <f>_xlfn.UNICODE(MID($B$392,20,1))</f>
        <v>0</v>
      </c>
      <c r="C412">
        <f>MOD(MOD(_xlfn.BITXOR(C411,B412),256)*16777216+_xlfn.BITXOR(C411,B412)*403,4294967296)</f>
        <v>0</v>
      </c>
    </row>
    <row r="413" spans="2:3">
      <c r="B413">
        <f>_xlfn.UNICODE(MID($B$392,21,1))</f>
        <v>0</v>
      </c>
      <c r="C413">
        <f>MOD(MOD(_xlfn.BITXOR(C412,B413),256)*16777216+_xlfn.BITXOR(C412,B413)*403,4294967296)</f>
        <v>0</v>
      </c>
    </row>
    <row r="414" spans="2:3">
      <c r="B414">
        <f>_xlfn.UNICODE(MID($B$392,22,1))</f>
        <v>0</v>
      </c>
      <c r="C414">
        <f>MOD(MOD(_xlfn.BITXOR(C413,B414),256)*16777216+_xlfn.BITXOR(C413,B414)*403,4294967296)</f>
        <v>0</v>
      </c>
    </row>
    <row r="415" spans="2:3">
      <c r="B415">
        <f>_xlfn.UNICODE(MID($B$392,23,1))</f>
        <v>0</v>
      </c>
      <c r="C415">
        <f>MOD(MOD(_xlfn.BITXOR(C414,B415),256)*16777216+_xlfn.BITXOR(C414,B415)*403,4294967296)</f>
        <v>0</v>
      </c>
    </row>
    <row r="416" spans="2:3">
      <c r="B416">
        <f>_xlfn.UNICODE(MID($B$392,24,1))</f>
        <v>0</v>
      </c>
      <c r="C416">
        <f>MOD(MOD(_xlfn.BITXOR(C415,B416),256)*16777216+_xlfn.BITXOR(C415,B416)*403,4294967296)</f>
        <v>0</v>
      </c>
    </row>
    <row r="417" spans="1:3">
      <c r="B417">
        <f>_xlfn.UNICODE(MID($B$392,25,1))</f>
        <v>0</v>
      </c>
      <c r="C417">
        <f>MOD(MOD(_xlfn.BITXOR(C416,B417),256)*16777216+_xlfn.BITXOR(C416,B417)*403,4294967296)</f>
        <v>0</v>
      </c>
    </row>
    <row r="418" spans="1:3">
      <c r="B418">
        <f>_xlfn.UNICODE(MID($B$392,26,1))</f>
        <v>0</v>
      </c>
      <c r="C418">
        <f>MOD(MOD(_xlfn.BITXOR(C417,B418),256)*16777216+_xlfn.BITXOR(C417,B418)*403,4294967296)</f>
        <v>0</v>
      </c>
    </row>
    <row r="419" spans="1:3">
      <c r="B419">
        <f>_xlfn.UNICODE(MID($B$392,27,1))</f>
        <v>0</v>
      </c>
      <c r="C419">
        <f>MOD(MOD(_xlfn.BITXOR(C418,B419),256)*16777216+_xlfn.BITXOR(C418,B419)*403,4294967296)</f>
        <v>0</v>
      </c>
    </row>
    <row r="420" spans="1:3">
      <c r="B420">
        <f>_xlfn.UNICODE(MID($B$392,28,1))</f>
        <v>0</v>
      </c>
      <c r="C420">
        <f>MOD(MOD(_xlfn.BITXOR(C419,B420),256)*16777216+_xlfn.BITXOR(C419,B420)*403,4294967296)</f>
        <v>0</v>
      </c>
    </row>
    <row r="421" spans="1:3">
      <c r="B421">
        <f>_xlfn.UNICODE(MID($B$392,29,1))</f>
        <v>0</v>
      </c>
      <c r="C421">
        <f>MOD(MOD(_xlfn.BITXOR(C420,B421),256)*16777216+_xlfn.BITXOR(C420,B421)*403,4294967296)</f>
        <v>0</v>
      </c>
    </row>
    <row r="422" spans="1:3">
      <c r="A422" t="s">
        <v>131</v>
      </c>
      <c r="B422">
        <f>"dzi"&amp;Calcul!$B$82&amp;6</f>
        <v>0</v>
      </c>
    </row>
    <row r="423" spans="1:3">
      <c r="B423">
        <f>_xlfn.UNICODE(MID($B$422,1,1))</f>
        <v>0</v>
      </c>
      <c r="C423">
        <f>MOD(MOD(_xlfn.BITXOR(C421,B423),256)*16777216+_xlfn.BITXOR(C421,B423)*403,4294967296)</f>
        <v>0</v>
      </c>
    </row>
    <row r="424" spans="1:3">
      <c r="B424">
        <f>_xlfn.UNICODE(MID($B$422,2,1))</f>
        <v>0</v>
      </c>
      <c r="C424">
        <f>MOD(MOD(_xlfn.BITXOR(C423,B424),256)*16777216+_xlfn.BITXOR(C423,B424)*403,4294967296)</f>
        <v>0</v>
      </c>
    </row>
    <row r="425" spans="1:3">
      <c r="B425">
        <f>_xlfn.UNICODE(MID($B$422,3,1))</f>
        <v>0</v>
      </c>
      <c r="C425">
        <f>MOD(MOD(_xlfn.BITXOR(C424,B425),256)*16777216+_xlfn.BITXOR(C424,B425)*403,4294967296)</f>
        <v>0</v>
      </c>
    </row>
    <row r="426" spans="1:3">
      <c r="B426">
        <f>_xlfn.UNICODE(MID($B$422,4,1))</f>
        <v>0</v>
      </c>
      <c r="C426">
        <f>MOD(MOD(_xlfn.BITXOR(C425,B426),256)*16777216+_xlfn.BITXOR(C425,B426)*403,4294967296)</f>
        <v>0</v>
      </c>
    </row>
    <row r="427" spans="1:3">
      <c r="B427">
        <f>_xlfn.UNICODE(MID($B$422,5,1))</f>
        <v>0</v>
      </c>
      <c r="C427">
        <f>MOD(MOD(_xlfn.BITXOR(C426,B427),256)*16777216+_xlfn.BITXOR(C426,B427)*403,4294967296)</f>
        <v>0</v>
      </c>
    </row>
    <row r="428" spans="1:3">
      <c r="B428">
        <f>_xlfn.UNICODE(MID($B$422,6,1))</f>
        <v>0</v>
      </c>
      <c r="C428">
        <f>MOD(MOD(_xlfn.BITXOR(C427,B428),256)*16777216+_xlfn.BITXOR(C427,B428)*403,4294967296)</f>
        <v>0</v>
      </c>
    </row>
    <row r="429" spans="1:3">
      <c r="B429">
        <f>_xlfn.UNICODE(MID($B$422,7,1))</f>
        <v>0</v>
      </c>
      <c r="C429">
        <f>MOD(MOD(_xlfn.BITXOR(C428,B429),256)*16777216+_xlfn.BITXOR(C428,B429)*403,4294967296)</f>
        <v>0</v>
      </c>
    </row>
    <row r="430" spans="1:3">
      <c r="B430">
        <f>_xlfn.UNICODE(MID($B$422,8,1))</f>
        <v>0</v>
      </c>
      <c r="C430">
        <f>MOD(MOD(_xlfn.BITXOR(C429,B430),256)*16777216+_xlfn.BITXOR(C429,B430)*403,4294967296)</f>
        <v>0</v>
      </c>
    </row>
    <row r="431" spans="1:3">
      <c r="B431">
        <f>_xlfn.UNICODE(MID($B$422,9,1))</f>
        <v>0</v>
      </c>
      <c r="C431">
        <f>MOD(MOD(_xlfn.BITXOR(C430,B431),256)*16777216+_xlfn.BITXOR(C430,B431)*403,4294967296)</f>
        <v>0</v>
      </c>
    </row>
    <row r="432" spans="1:3">
      <c r="B432">
        <f>_xlfn.UNICODE(MID($B$422,10,1))</f>
        <v>0</v>
      </c>
      <c r="C432">
        <f>MOD(MOD(_xlfn.BITXOR(C431,B432),256)*16777216+_xlfn.BITXOR(C431,B432)*403,4294967296)</f>
        <v>0</v>
      </c>
    </row>
    <row r="433" spans="2:3">
      <c r="B433">
        <f>_xlfn.UNICODE(MID($B$422,11,1))</f>
        <v>0</v>
      </c>
      <c r="C433">
        <f>MOD(MOD(_xlfn.BITXOR(C432,B433),256)*16777216+_xlfn.BITXOR(C432,B433)*403,4294967296)</f>
        <v>0</v>
      </c>
    </row>
    <row r="434" spans="2:3">
      <c r="B434">
        <f>_xlfn.UNICODE(MID($B$422,12,1))</f>
        <v>0</v>
      </c>
      <c r="C434">
        <f>MOD(MOD(_xlfn.BITXOR(C433,B434),256)*16777216+_xlfn.BITXOR(C433,B434)*403,4294967296)</f>
        <v>0</v>
      </c>
    </row>
    <row r="435" spans="2:3">
      <c r="B435">
        <f>_xlfn.UNICODE(MID($B$422,13,1))</f>
        <v>0</v>
      </c>
      <c r="C435">
        <f>MOD(MOD(_xlfn.BITXOR(C434,B435),256)*16777216+_xlfn.BITXOR(C434,B435)*403,4294967296)</f>
        <v>0</v>
      </c>
    </row>
    <row r="436" spans="2:3">
      <c r="B436">
        <f>_xlfn.UNICODE(MID($B$422,14,1))</f>
        <v>0</v>
      </c>
      <c r="C436">
        <f>MOD(MOD(_xlfn.BITXOR(C435,B436),256)*16777216+_xlfn.BITXOR(C435,B436)*403,4294967296)</f>
        <v>0</v>
      </c>
    </row>
    <row r="437" spans="2:3">
      <c r="B437">
        <f>_xlfn.UNICODE(MID($B$422,15,1))</f>
        <v>0</v>
      </c>
      <c r="C437">
        <f>MOD(MOD(_xlfn.BITXOR(C436,B437),256)*16777216+_xlfn.BITXOR(C436,B437)*403,4294967296)</f>
        <v>0</v>
      </c>
    </row>
    <row r="438" spans="2:3">
      <c r="B438">
        <f>_xlfn.UNICODE(MID($B$422,16,1))</f>
        <v>0</v>
      </c>
      <c r="C438">
        <f>MOD(MOD(_xlfn.BITXOR(C437,B438),256)*16777216+_xlfn.BITXOR(C437,B438)*403,4294967296)</f>
        <v>0</v>
      </c>
    </row>
    <row r="439" spans="2:3">
      <c r="B439">
        <f>_xlfn.UNICODE(MID($B$422,17,1))</f>
        <v>0</v>
      </c>
      <c r="C439">
        <f>MOD(MOD(_xlfn.BITXOR(C438,B439),256)*16777216+_xlfn.BITXOR(C438,B439)*403,4294967296)</f>
        <v>0</v>
      </c>
    </row>
    <row r="440" spans="2:3">
      <c r="B440">
        <f>_xlfn.UNICODE(MID($B$422,18,1))</f>
        <v>0</v>
      </c>
      <c r="C440">
        <f>MOD(MOD(_xlfn.BITXOR(C439,B440),256)*16777216+_xlfn.BITXOR(C439,B440)*403,4294967296)</f>
        <v>0</v>
      </c>
    </row>
    <row r="441" spans="2:3">
      <c r="B441">
        <f>_xlfn.UNICODE(MID($B$422,19,1))</f>
        <v>0</v>
      </c>
      <c r="C441">
        <f>MOD(MOD(_xlfn.BITXOR(C440,B441),256)*16777216+_xlfn.BITXOR(C440,B441)*403,4294967296)</f>
        <v>0</v>
      </c>
    </row>
    <row r="442" spans="2:3">
      <c r="B442">
        <f>_xlfn.UNICODE(MID($B$422,20,1))</f>
        <v>0</v>
      </c>
      <c r="C442">
        <f>MOD(MOD(_xlfn.BITXOR(C441,B442),256)*16777216+_xlfn.BITXOR(C441,B442)*403,4294967296)</f>
        <v>0</v>
      </c>
    </row>
    <row r="443" spans="2:3">
      <c r="B443">
        <f>_xlfn.UNICODE(MID($B$422,21,1))</f>
        <v>0</v>
      </c>
      <c r="C443">
        <f>MOD(MOD(_xlfn.BITXOR(C442,B443),256)*16777216+_xlfn.BITXOR(C442,B443)*403,4294967296)</f>
        <v>0</v>
      </c>
    </row>
    <row r="444" spans="2:3">
      <c r="B444">
        <f>_xlfn.UNICODE(MID($B$422,22,1))</f>
        <v>0</v>
      </c>
      <c r="C444">
        <f>MOD(MOD(_xlfn.BITXOR(C443,B444),256)*16777216+_xlfn.BITXOR(C443,B444)*403,4294967296)</f>
        <v>0</v>
      </c>
    </row>
    <row r="445" spans="2:3">
      <c r="B445">
        <f>_xlfn.UNICODE(MID($B$422,23,1))</f>
        <v>0</v>
      </c>
      <c r="C445">
        <f>MOD(MOD(_xlfn.BITXOR(C444,B445),256)*16777216+_xlfn.BITXOR(C444,B445)*403,4294967296)</f>
        <v>0</v>
      </c>
    </row>
    <row r="446" spans="2:3">
      <c r="B446">
        <f>_xlfn.UNICODE(MID($B$422,24,1))</f>
        <v>0</v>
      </c>
      <c r="C446">
        <f>MOD(MOD(_xlfn.BITXOR(C445,B446),256)*16777216+_xlfn.BITXOR(C445,B446)*403,4294967296)</f>
        <v>0</v>
      </c>
    </row>
    <row r="447" spans="2:3">
      <c r="B447">
        <f>_xlfn.UNICODE(MID($B$422,25,1))</f>
        <v>0</v>
      </c>
      <c r="C447">
        <f>MOD(MOD(_xlfn.BITXOR(C446,B447),256)*16777216+_xlfn.BITXOR(C446,B447)*403,4294967296)</f>
        <v>0</v>
      </c>
    </row>
    <row r="448" spans="2:3">
      <c r="B448">
        <f>_xlfn.UNICODE(MID($B$422,26,1))</f>
        <v>0</v>
      </c>
      <c r="C448">
        <f>MOD(MOD(_xlfn.BITXOR(C447,B448),256)*16777216+_xlfn.BITXOR(C447,B448)*403,4294967296)</f>
        <v>0</v>
      </c>
    </row>
    <row r="449" spans="1:3">
      <c r="B449">
        <f>_xlfn.UNICODE(MID($B$422,27,1))</f>
        <v>0</v>
      </c>
      <c r="C449">
        <f>MOD(MOD(_xlfn.BITXOR(C448,B449),256)*16777216+_xlfn.BITXOR(C448,B449)*403,4294967296)</f>
        <v>0</v>
      </c>
    </row>
    <row r="450" spans="1:3">
      <c r="B450">
        <f>_xlfn.UNICODE(MID($B$422,28,1))</f>
        <v>0</v>
      </c>
      <c r="C450">
        <f>MOD(MOD(_xlfn.BITXOR(C449,B450),256)*16777216+_xlfn.BITXOR(C449,B450)*403,4294967296)</f>
        <v>0</v>
      </c>
    </row>
    <row r="451" spans="1:3">
      <c r="B451">
        <f>_xlfn.UNICODE(MID($B$422,29,1))</f>
        <v>0</v>
      </c>
      <c r="C451">
        <f>MOD(MOD(_xlfn.BITXOR(C450,B451),256)*16777216+_xlfn.BITXOR(C450,B451)*403,4294967296)</f>
        <v>0</v>
      </c>
    </row>
    <row r="452" spans="1:3">
      <c r="A452" t="s">
        <v>132</v>
      </c>
      <c r="B452">
        <f>"dzi"&amp;Calcul!$B$82&amp;8</f>
        <v>0</v>
      </c>
    </row>
    <row r="453" spans="1:3">
      <c r="B453">
        <f>_xlfn.UNICODE(MID($B$452,1,1))</f>
        <v>0</v>
      </c>
      <c r="C453">
        <f>MOD(MOD(_xlfn.BITXOR(C451,B453),256)*16777216+_xlfn.BITXOR(C451,B453)*403,4294967296)</f>
        <v>0</v>
      </c>
    </row>
    <row r="454" spans="1:3">
      <c r="B454">
        <f>_xlfn.UNICODE(MID($B$452,2,1))</f>
        <v>0</v>
      </c>
      <c r="C454">
        <f>MOD(MOD(_xlfn.BITXOR(C453,B454),256)*16777216+_xlfn.BITXOR(C453,B454)*403,4294967296)</f>
        <v>0</v>
      </c>
    </row>
    <row r="455" spans="1:3">
      <c r="B455">
        <f>_xlfn.UNICODE(MID($B$452,3,1))</f>
        <v>0</v>
      </c>
      <c r="C455">
        <f>MOD(MOD(_xlfn.BITXOR(C454,B455),256)*16777216+_xlfn.BITXOR(C454,B455)*403,4294967296)</f>
        <v>0</v>
      </c>
    </row>
    <row r="456" spans="1:3">
      <c r="B456">
        <f>_xlfn.UNICODE(MID($B$452,4,1))</f>
        <v>0</v>
      </c>
      <c r="C456">
        <f>MOD(MOD(_xlfn.BITXOR(C455,B456),256)*16777216+_xlfn.BITXOR(C455,B456)*403,4294967296)</f>
        <v>0</v>
      </c>
    </row>
    <row r="457" spans="1:3">
      <c r="B457">
        <f>_xlfn.UNICODE(MID($B$452,5,1))</f>
        <v>0</v>
      </c>
      <c r="C457">
        <f>MOD(MOD(_xlfn.BITXOR(C456,B457),256)*16777216+_xlfn.BITXOR(C456,B457)*403,4294967296)</f>
        <v>0</v>
      </c>
    </row>
    <row r="458" spans="1:3">
      <c r="B458">
        <f>_xlfn.UNICODE(MID($B$452,6,1))</f>
        <v>0</v>
      </c>
      <c r="C458">
        <f>MOD(MOD(_xlfn.BITXOR(C457,B458),256)*16777216+_xlfn.BITXOR(C457,B458)*403,4294967296)</f>
        <v>0</v>
      </c>
    </row>
    <row r="459" spans="1:3">
      <c r="B459">
        <f>_xlfn.UNICODE(MID($B$452,7,1))</f>
        <v>0</v>
      </c>
      <c r="C459">
        <f>MOD(MOD(_xlfn.BITXOR(C458,B459),256)*16777216+_xlfn.BITXOR(C458,B459)*403,4294967296)</f>
        <v>0</v>
      </c>
    </row>
    <row r="460" spans="1:3">
      <c r="B460">
        <f>_xlfn.UNICODE(MID($B$452,8,1))</f>
        <v>0</v>
      </c>
      <c r="C460">
        <f>MOD(MOD(_xlfn.BITXOR(C459,B460),256)*16777216+_xlfn.BITXOR(C459,B460)*403,4294967296)</f>
        <v>0</v>
      </c>
    </row>
    <row r="461" spans="1:3">
      <c r="B461">
        <f>_xlfn.UNICODE(MID($B$452,9,1))</f>
        <v>0</v>
      </c>
      <c r="C461">
        <f>MOD(MOD(_xlfn.BITXOR(C460,B461),256)*16777216+_xlfn.BITXOR(C460,B461)*403,4294967296)</f>
        <v>0</v>
      </c>
    </row>
    <row r="462" spans="1:3">
      <c r="B462">
        <f>_xlfn.UNICODE(MID($B$452,10,1))</f>
        <v>0</v>
      </c>
      <c r="C462">
        <f>MOD(MOD(_xlfn.BITXOR(C461,B462),256)*16777216+_xlfn.BITXOR(C461,B462)*403,4294967296)</f>
        <v>0</v>
      </c>
    </row>
    <row r="463" spans="1:3">
      <c r="B463">
        <f>_xlfn.UNICODE(MID($B$452,11,1))</f>
        <v>0</v>
      </c>
      <c r="C463">
        <f>MOD(MOD(_xlfn.BITXOR(C462,B463),256)*16777216+_xlfn.BITXOR(C462,B463)*403,4294967296)</f>
        <v>0</v>
      </c>
    </row>
    <row r="464" spans="1:3">
      <c r="B464">
        <f>_xlfn.UNICODE(MID($B$452,12,1))</f>
        <v>0</v>
      </c>
      <c r="C464">
        <f>MOD(MOD(_xlfn.BITXOR(C463,B464),256)*16777216+_xlfn.BITXOR(C463,B464)*403,4294967296)</f>
        <v>0</v>
      </c>
    </row>
    <row r="465" spans="2:3">
      <c r="B465">
        <f>_xlfn.UNICODE(MID($B$452,13,1))</f>
        <v>0</v>
      </c>
      <c r="C465">
        <f>MOD(MOD(_xlfn.BITXOR(C464,B465),256)*16777216+_xlfn.BITXOR(C464,B465)*403,4294967296)</f>
        <v>0</v>
      </c>
    </row>
    <row r="466" spans="2:3">
      <c r="B466">
        <f>_xlfn.UNICODE(MID($B$452,14,1))</f>
        <v>0</v>
      </c>
      <c r="C466">
        <f>MOD(MOD(_xlfn.BITXOR(C465,B466),256)*16777216+_xlfn.BITXOR(C465,B466)*403,4294967296)</f>
        <v>0</v>
      </c>
    </row>
    <row r="467" spans="2:3">
      <c r="B467">
        <f>_xlfn.UNICODE(MID($B$452,15,1))</f>
        <v>0</v>
      </c>
      <c r="C467">
        <f>MOD(MOD(_xlfn.BITXOR(C466,B467),256)*16777216+_xlfn.BITXOR(C466,B467)*403,4294967296)</f>
        <v>0</v>
      </c>
    </row>
    <row r="468" spans="2:3">
      <c r="B468">
        <f>_xlfn.UNICODE(MID($B$452,16,1))</f>
        <v>0</v>
      </c>
      <c r="C468">
        <f>MOD(MOD(_xlfn.BITXOR(C467,B468),256)*16777216+_xlfn.BITXOR(C467,B468)*403,4294967296)</f>
        <v>0</v>
      </c>
    </row>
    <row r="469" spans="2:3">
      <c r="B469">
        <f>_xlfn.UNICODE(MID($B$452,17,1))</f>
        <v>0</v>
      </c>
      <c r="C469">
        <f>MOD(MOD(_xlfn.BITXOR(C468,B469),256)*16777216+_xlfn.BITXOR(C468,B469)*403,4294967296)</f>
        <v>0</v>
      </c>
    </row>
    <row r="470" spans="2:3">
      <c r="B470">
        <f>_xlfn.UNICODE(MID($B$452,18,1))</f>
        <v>0</v>
      </c>
      <c r="C470">
        <f>MOD(MOD(_xlfn.BITXOR(C469,B470),256)*16777216+_xlfn.BITXOR(C469,B470)*403,4294967296)</f>
        <v>0</v>
      </c>
    </row>
    <row r="471" spans="2:3">
      <c r="B471">
        <f>_xlfn.UNICODE(MID($B$452,19,1))</f>
        <v>0</v>
      </c>
      <c r="C471">
        <f>MOD(MOD(_xlfn.BITXOR(C470,B471),256)*16777216+_xlfn.BITXOR(C470,B471)*403,4294967296)</f>
        <v>0</v>
      </c>
    </row>
    <row r="472" spans="2:3">
      <c r="B472">
        <f>_xlfn.UNICODE(MID($B$452,20,1))</f>
        <v>0</v>
      </c>
      <c r="C472">
        <f>MOD(MOD(_xlfn.BITXOR(C471,B472),256)*16777216+_xlfn.BITXOR(C471,B472)*403,4294967296)</f>
        <v>0</v>
      </c>
    </row>
    <row r="473" spans="2:3">
      <c r="B473">
        <f>_xlfn.UNICODE(MID($B$452,21,1))</f>
        <v>0</v>
      </c>
      <c r="C473">
        <f>MOD(MOD(_xlfn.BITXOR(C472,B473),256)*16777216+_xlfn.BITXOR(C472,B473)*403,4294967296)</f>
        <v>0</v>
      </c>
    </row>
    <row r="474" spans="2:3">
      <c r="B474">
        <f>_xlfn.UNICODE(MID($B$452,22,1))</f>
        <v>0</v>
      </c>
      <c r="C474">
        <f>MOD(MOD(_xlfn.BITXOR(C473,B474),256)*16777216+_xlfn.BITXOR(C473,B474)*403,4294967296)</f>
        <v>0</v>
      </c>
    </row>
    <row r="475" spans="2:3">
      <c r="B475">
        <f>_xlfn.UNICODE(MID($B$452,23,1))</f>
        <v>0</v>
      </c>
      <c r="C475">
        <f>MOD(MOD(_xlfn.BITXOR(C474,B475),256)*16777216+_xlfn.BITXOR(C474,B475)*403,4294967296)</f>
        <v>0</v>
      </c>
    </row>
    <row r="476" spans="2:3">
      <c r="B476">
        <f>_xlfn.UNICODE(MID($B$452,24,1))</f>
        <v>0</v>
      </c>
      <c r="C476">
        <f>MOD(MOD(_xlfn.BITXOR(C475,B476),256)*16777216+_xlfn.BITXOR(C475,B476)*403,4294967296)</f>
        <v>0</v>
      </c>
    </row>
    <row r="477" spans="2:3">
      <c r="B477">
        <f>_xlfn.UNICODE(MID($B$452,25,1))</f>
        <v>0</v>
      </c>
      <c r="C477">
        <f>MOD(MOD(_xlfn.BITXOR(C476,B477),256)*16777216+_xlfn.BITXOR(C476,B477)*403,4294967296)</f>
        <v>0</v>
      </c>
    </row>
    <row r="478" spans="2:3">
      <c r="B478">
        <f>_xlfn.UNICODE(MID($B$452,26,1))</f>
        <v>0</v>
      </c>
      <c r="C478">
        <f>MOD(MOD(_xlfn.BITXOR(C477,B478),256)*16777216+_xlfn.BITXOR(C477,B478)*403,4294967296)</f>
        <v>0</v>
      </c>
    </row>
    <row r="479" spans="2:3">
      <c r="B479">
        <f>_xlfn.UNICODE(MID($B$452,27,1))</f>
        <v>0</v>
      </c>
      <c r="C479">
        <f>MOD(MOD(_xlfn.BITXOR(C478,B479),256)*16777216+_xlfn.BITXOR(C478,B479)*403,4294967296)</f>
        <v>0</v>
      </c>
    </row>
    <row r="480" spans="2:3">
      <c r="B480">
        <f>_xlfn.UNICODE(MID($B$452,28,1))</f>
        <v>0</v>
      </c>
      <c r="C480">
        <f>MOD(MOD(_xlfn.BITXOR(C479,B480),256)*16777216+_xlfn.BITXOR(C479,B480)*403,4294967296)</f>
        <v>0</v>
      </c>
    </row>
    <row r="481" spans="1:3">
      <c r="B481">
        <f>_xlfn.UNICODE(MID($B$452,29,1))</f>
        <v>0</v>
      </c>
      <c r="C481">
        <f>MOD(MOD(_xlfn.BITXOR(C480,B481),256)*16777216+_xlfn.BITXOR(C480,B481)*403,4294967296)</f>
        <v>0</v>
      </c>
    </row>
    <row r="482" spans="1:3">
      <c r="A482" t="s">
        <v>133</v>
      </c>
      <c r="B482">
        <f>"dzi"&amp;Calcul!$B$82&amp;10</f>
        <v>0</v>
      </c>
    </row>
    <row r="483" spans="1:3">
      <c r="B483">
        <f>_xlfn.UNICODE(MID($B$482,1,1))</f>
        <v>0</v>
      </c>
      <c r="C483">
        <f>MOD(MOD(_xlfn.BITXOR(C481,B483),256)*16777216+_xlfn.BITXOR(C481,B483)*403,4294967296)</f>
        <v>0</v>
      </c>
    </row>
    <row r="484" spans="1:3">
      <c r="B484">
        <f>_xlfn.UNICODE(MID($B$482,2,1))</f>
        <v>0</v>
      </c>
      <c r="C484">
        <f>MOD(MOD(_xlfn.BITXOR(C483,B484),256)*16777216+_xlfn.BITXOR(C483,B484)*403,4294967296)</f>
        <v>0</v>
      </c>
    </row>
    <row r="485" spans="1:3">
      <c r="B485">
        <f>_xlfn.UNICODE(MID($B$482,3,1))</f>
        <v>0</v>
      </c>
      <c r="C485">
        <f>MOD(MOD(_xlfn.BITXOR(C484,B485),256)*16777216+_xlfn.BITXOR(C484,B485)*403,4294967296)</f>
        <v>0</v>
      </c>
    </row>
    <row r="486" spans="1:3">
      <c r="B486">
        <f>_xlfn.UNICODE(MID($B$482,4,1))</f>
        <v>0</v>
      </c>
      <c r="C486">
        <f>MOD(MOD(_xlfn.BITXOR(C485,B486),256)*16777216+_xlfn.BITXOR(C485,B486)*403,4294967296)</f>
        <v>0</v>
      </c>
    </row>
    <row r="487" spans="1:3">
      <c r="B487">
        <f>_xlfn.UNICODE(MID($B$482,5,1))</f>
        <v>0</v>
      </c>
      <c r="C487">
        <f>MOD(MOD(_xlfn.BITXOR(C486,B487),256)*16777216+_xlfn.BITXOR(C486,B487)*403,4294967296)</f>
        <v>0</v>
      </c>
    </row>
    <row r="488" spans="1:3">
      <c r="B488">
        <f>_xlfn.UNICODE(MID($B$482,6,1))</f>
        <v>0</v>
      </c>
      <c r="C488">
        <f>MOD(MOD(_xlfn.BITXOR(C487,B488),256)*16777216+_xlfn.BITXOR(C487,B488)*403,4294967296)</f>
        <v>0</v>
      </c>
    </row>
    <row r="489" spans="1:3">
      <c r="B489">
        <f>_xlfn.UNICODE(MID($B$482,7,1))</f>
        <v>0</v>
      </c>
      <c r="C489">
        <f>MOD(MOD(_xlfn.BITXOR(C488,B489),256)*16777216+_xlfn.BITXOR(C488,B489)*403,4294967296)</f>
        <v>0</v>
      </c>
    </row>
    <row r="490" spans="1:3">
      <c r="B490">
        <f>_xlfn.UNICODE(MID($B$482,8,1))</f>
        <v>0</v>
      </c>
      <c r="C490">
        <f>MOD(MOD(_xlfn.BITXOR(C489,B490),256)*16777216+_xlfn.BITXOR(C489,B490)*403,4294967296)</f>
        <v>0</v>
      </c>
    </row>
    <row r="491" spans="1:3">
      <c r="B491">
        <f>_xlfn.UNICODE(MID($B$482,9,1))</f>
        <v>0</v>
      </c>
      <c r="C491">
        <f>MOD(MOD(_xlfn.BITXOR(C490,B491),256)*16777216+_xlfn.BITXOR(C490,B491)*403,4294967296)</f>
        <v>0</v>
      </c>
    </row>
    <row r="492" spans="1:3">
      <c r="B492">
        <f>_xlfn.UNICODE(MID($B$482,10,1))</f>
        <v>0</v>
      </c>
      <c r="C492">
        <f>MOD(MOD(_xlfn.BITXOR(C491,B492),256)*16777216+_xlfn.BITXOR(C491,B492)*403,4294967296)</f>
        <v>0</v>
      </c>
    </row>
    <row r="493" spans="1:3">
      <c r="B493">
        <f>_xlfn.UNICODE(MID($B$482,11,1))</f>
        <v>0</v>
      </c>
      <c r="C493">
        <f>MOD(MOD(_xlfn.BITXOR(C492,B493),256)*16777216+_xlfn.BITXOR(C492,B493)*403,4294967296)</f>
        <v>0</v>
      </c>
    </row>
    <row r="494" spans="1:3">
      <c r="B494">
        <f>_xlfn.UNICODE(MID($B$482,12,1))</f>
        <v>0</v>
      </c>
      <c r="C494">
        <f>MOD(MOD(_xlfn.BITXOR(C493,B494),256)*16777216+_xlfn.BITXOR(C493,B494)*403,4294967296)</f>
        <v>0</v>
      </c>
    </row>
    <row r="495" spans="1:3">
      <c r="B495">
        <f>_xlfn.UNICODE(MID($B$482,13,1))</f>
        <v>0</v>
      </c>
      <c r="C495">
        <f>MOD(MOD(_xlfn.BITXOR(C494,B495),256)*16777216+_xlfn.BITXOR(C494,B495)*403,4294967296)</f>
        <v>0</v>
      </c>
    </row>
    <row r="496" spans="1:3">
      <c r="B496">
        <f>_xlfn.UNICODE(MID($B$482,14,1))</f>
        <v>0</v>
      </c>
      <c r="C496">
        <f>MOD(MOD(_xlfn.BITXOR(C495,B496),256)*16777216+_xlfn.BITXOR(C495,B496)*403,4294967296)</f>
        <v>0</v>
      </c>
    </row>
    <row r="497" spans="2:3">
      <c r="B497">
        <f>_xlfn.UNICODE(MID($B$482,15,1))</f>
        <v>0</v>
      </c>
      <c r="C497">
        <f>MOD(MOD(_xlfn.BITXOR(C496,B497),256)*16777216+_xlfn.BITXOR(C496,B497)*403,4294967296)</f>
        <v>0</v>
      </c>
    </row>
    <row r="498" spans="2:3">
      <c r="B498">
        <f>_xlfn.UNICODE(MID($B$482,16,1))</f>
        <v>0</v>
      </c>
      <c r="C498">
        <f>MOD(MOD(_xlfn.BITXOR(C497,B498),256)*16777216+_xlfn.BITXOR(C497,B498)*403,4294967296)</f>
        <v>0</v>
      </c>
    </row>
    <row r="499" spans="2:3">
      <c r="B499">
        <f>_xlfn.UNICODE(MID($B$482,17,1))</f>
        <v>0</v>
      </c>
      <c r="C499">
        <f>MOD(MOD(_xlfn.BITXOR(C498,B499),256)*16777216+_xlfn.BITXOR(C498,B499)*403,4294967296)</f>
        <v>0</v>
      </c>
    </row>
    <row r="500" spans="2:3">
      <c r="B500">
        <f>_xlfn.UNICODE(MID($B$482,18,1))</f>
        <v>0</v>
      </c>
      <c r="C500">
        <f>MOD(MOD(_xlfn.BITXOR(C499,B500),256)*16777216+_xlfn.BITXOR(C499,B500)*403,4294967296)</f>
        <v>0</v>
      </c>
    </row>
    <row r="501" spans="2:3">
      <c r="B501">
        <f>_xlfn.UNICODE(MID($B$482,19,1))</f>
        <v>0</v>
      </c>
      <c r="C501">
        <f>MOD(MOD(_xlfn.BITXOR(C500,B501),256)*16777216+_xlfn.BITXOR(C500,B501)*403,4294967296)</f>
        <v>0</v>
      </c>
    </row>
    <row r="502" spans="2:3">
      <c r="B502">
        <f>_xlfn.UNICODE(MID($B$482,20,1))</f>
        <v>0</v>
      </c>
      <c r="C502">
        <f>MOD(MOD(_xlfn.BITXOR(C501,B502),256)*16777216+_xlfn.BITXOR(C501,B502)*403,4294967296)</f>
        <v>0</v>
      </c>
    </row>
    <row r="503" spans="2:3">
      <c r="B503">
        <f>_xlfn.UNICODE(MID($B$482,21,1))</f>
        <v>0</v>
      </c>
      <c r="C503">
        <f>MOD(MOD(_xlfn.BITXOR(C502,B503),256)*16777216+_xlfn.BITXOR(C502,B503)*403,4294967296)</f>
        <v>0</v>
      </c>
    </row>
    <row r="504" spans="2:3">
      <c r="B504">
        <f>_xlfn.UNICODE(MID($B$482,22,1))</f>
        <v>0</v>
      </c>
      <c r="C504">
        <f>MOD(MOD(_xlfn.BITXOR(C503,B504),256)*16777216+_xlfn.BITXOR(C503,B504)*403,4294967296)</f>
        <v>0</v>
      </c>
    </row>
    <row r="505" spans="2:3">
      <c r="B505">
        <f>_xlfn.UNICODE(MID($B$482,23,1))</f>
        <v>0</v>
      </c>
      <c r="C505">
        <f>MOD(MOD(_xlfn.BITXOR(C504,B505),256)*16777216+_xlfn.BITXOR(C504,B505)*403,4294967296)</f>
        <v>0</v>
      </c>
    </row>
    <row r="506" spans="2:3">
      <c r="B506">
        <f>_xlfn.UNICODE(MID($B$482,24,1))</f>
        <v>0</v>
      </c>
      <c r="C506">
        <f>MOD(MOD(_xlfn.BITXOR(C505,B506),256)*16777216+_xlfn.BITXOR(C505,B506)*403,4294967296)</f>
        <v>0</v>
      </c>
    </row>
    <row r="507" spans="2:3">
      <c r="B507">
        <f>_xlfn.UNICODE(MID($B$482,25,1))</f>
        <v>0</v>
      </c>
      <c r="C507">
        <f>MOD(MOD(_xlfn.BITXOR(C506,B507),256)*16777216+_xlfn.BITXOR(C506,B507)*403,4294967296)</f>
        <v>0</v>
      </c>
    </row>
    <row r="508" spans="2:3">
      <c r="B508">
        <f>_xlfn.UNICODE(MID($B$482,26,1))</f>
        <v>0</v>
      </c>
      <c r="C508">
        <f>MOD(MOD(_xlfn.BITXOR(C507,B508),256)*16777216+_xlfn.BITXOR(C507,B508)*403,4294967296)</f>
        <v>0</v>
      </c>
    </row>
    <row r="509" spans="2:3">
      <c r="B509">
        <f>_xlfn.UNICODE(MID($B$482,27,1))</f>
        <v>0</v>
      </c>
      <c r="C509">
        <f>MOD(MOD(_xlfn.BITXOR(C508,B509),256)*16777216+_xlfn.BITXOR(C508,B509)*403,4294967296)</f>
        <v>0</v>
      </c>
    </row>
    <row r="510" spans="2:3">
      <c r="B510">
        <f>_xlfn.UNICODE(MID($B$482,28,1))</f>
        <v>0</v>
      </c>
      <c r="C510">
        <f>MOD(MOD(_xlfn.BITXOR(C509,B510),256)*16777216+_xlfn.BITXOR(C509,B510)*403,4294967296)</f>
        <v>0</v>
      </c>
    </row>
    <row r="511" spans="2:3">
      <c r="B511">
        <f>_xlfn.UNICODE(MID($B$482,29,1))</f>
        <v>0</v>
      </c>
      <c r="C511">
        <f>MOD(MOD(_xlfn.BITXOR(C510,B511),256)*16777216+_xlfn.BITXOR(C510,B511)*403,4294967296)</f>
        <v>0</v>
      </c>
    </row>
    <row r="512" spans="2:3">
      <c r="B512">
        <f>_xlfn.UNICODE(MID($B$482,30,1))</f>
        <v>0</v>
      </c>
      <c r="C512">
        <f>MOD(MOD(_xlfn.BITXOR(C511,B512),256)*16777216+_xlfn.BITXOR(C511,B512)*403,4294967296)</f>
        <v>0</v>
      </c>
    </row>
    <row r="513" spans="1:3">
      <c r="A513" t="s">
        <v>134</v>
      </c>
      <c r="B513">
        <f>"dzi"&amp;Calcul!$B$82&amp;12</f>
        <v>0</v>
      </c>
    </row>
    <row r="514" spans="1:3">
      <c r="B514">
        <f>_xlfn.UNICODE(MID($B$513,1,1))</f>
        <v>0</v>
      </c>
      <c r="C514">
        <f>MOD(MOD(_xlfn.BITXOR(C512,B514),256)*16777216+_xlfn.BITXOR(C512,B514)*403,4294967296)</f>
        <v>0</v>
      </c>
    </row>
    <row r="515" spans="1:3">
      <c r="B515">
        <f>_xlfn.UNICODE(MID($B$513,2,1))</f>
        <v>0</v>
      </c>
      <c r="C515">
        <f>MOD(MOD(_xlfn.BITXOR(C514,B515),256)*16777216+_xlfn.BITXOR(C514,B515)*403,4294967296)</f>
        <v>0</v>
      </c>
    </row>
    <row r="516" spans="1:3">
      <c r="B516">
        <f>_xlfn.UNICODE(MID($B$513,3,1))</f>
        <v>0</v>
      </c>
      <c r="C516">
        <f>MOD(MOD(_xlfn.BITXOR(C515,B516),256)*16777216+_xlfn.BITXOR(C515,B516)*403,4294967296)</f>
        <v>0</v>
      </c>
    </row>
    <row r="517" spans="1:3">
      <c r="B517">
        <f>_xlfn.UNICODE(MID($B$513,4,1))</f>
        <v>0</v>
      </c>
      <c r="C517">
        <f>MOD(MOD(_xlfn.BITXOR(C516,B517),256)*16777216+_xlfn.BITXOR(C516,B517)*403,4294967296)</f>
        <v>0</v>
      </c>
    </row>
    <row r="518" spans="1:3">
      <c r="B518">
        <f>_xlfn.UNICODE(MID($B$513,5,1))</f>
        <v>0</v>
      </c>
      <c r="C518">
        <f>MOD(MOD(_xlfn.BITXOR(C517,B518),256)*16777216+_xlfn.BITXOR(C517,B518)*403,4294967296)</f>
        <v>0</v>
      </c>
    </row>
    <row r="519" spans="1:3">
      <c r="B519">
        <f>_xlfn.UNICODE(MID($B$513,6,1))</f>
        <v>0</v>
      </c>
      <c r="C519">
        <f>MOD(MOD(_xlfn.BITXOR(C518,B519),256)*16777216+_xlfn.BITXOR(C518,B519)*403,4294967296)</f>
        <v>0</v>
      </c>
    </row>
    <row r="520" spans="1:3">
      <c r="B520">
        <f>_xlfn.UNICODE(MID($B$513,7,1))</f>
        <v>0</v>
      </c>
      <c r="C520">
        <f>MOD(MOD(_xlfn.BITXOR(C519,B520),256)*16777216+_xlfn.BITXOR(C519,B520)*403,4294967296)</f>
        <v>0</v>
      </c>
    </row>
    <row r="521" spans="1:3">
      <c r="B521">
        <f>_xlfn.UNICODE(MID($B$513,8,1))</f>
        <v>0</v>
      </c>
      <c r="C521">
        <f>MOD(MOD(_xlfn.BITXOR(C520,B521),256)*16777216+_xlfn.BITXOR(C520,B521)*403,4294967296)</f>
        <v>0</v>
      </c>
    </row>
    <row r="522" spans="1:3">
      <c r="B522">
        <f>_xlfn.UNICODE(MID($B$513,9,1))</f>
        <v>0</v>
      </c>
      <c r="C522">
        <f>MOD(MOD(_xlfn.BITXOR(C521,B522),256)*16777216+_xlfn.BITXOR(C521,B522)*403,4294967296)</f>
        <v>0</v>
      </c>
    </row>
    <row r="523" spans="1:3">
      <c r="B523">
        <f>_xlfn.UNICODE(MID($B$513,10,1))</f>
        <v>0</v>
      </c>
      <c r="C523">
        <f>MOD(MOD(_xlfn.BITXOR(C522,B523),256)*16777216+_xlfn.BITXOR(C522,B523)*403,4294967296)</f>
        <v>0</v>
      </c>
    </row>
    <row r="524" spans="1:3">
      <c r="B524">
        <f>_xlfn.UNICODE(MID($B$513,11,1))</f>
        <v>0</v>
      </c>
      <c r="C524">
        <f>MOD(MOD(_xlfn.BITXOR(C523,B524),256)*16777216+_xlfn.BITXOR(C523,B524)*403,4294967296)</f>
        <v>0</v>
      </c>
    </row>
    <row r="525" spans="1:3">
      <c r="B525">
        <f>_xlfn.UNICODE(MID($B$513,12,1))</f>
        <v>0</v>
      </c>
      <c r="C525">
        <f>MOD(MOD(_xlfn.BITXOR(C524,B525),256)*16777216+_xlfn.BITXOR(C524,B525)*403,4294967296)</f>
        <v>0</v>
      </c>
    </row>
    <row r="526" spans="1:3">
      <c r="B526">
        <f>_xlfn.UNICODE(MID($B$513,13,1))</f>
        <v>0</v>
      </c>
      <c r="C526">
        <f>MOD(MOD(_xlfn.BITXOR(C525,B526),256)*16777216+_xlfn.BITXOR(C525,B526)*403,4294967296)</f>
        <v>0</v>
      </c>
    </row>
    <row r="527" spans="1:3">
      <c r="B527">
        <f>_xlfn.UNICODE(MID($B$513,14,1))</f>
        <v>0</v>
      </c>
      <c r="C527">
        <f>MOD(MOD(_xlfn.BITXOR(C526,B527),256)*16777216+_xlfn.BITXOR(C526,B527)*403,4294967296)</f>
        <v>0</v>
      </c>
    </row>
    <row r="528" spans="1:3">
      <c r="B528">
        <f>_xlfn.UNICODE(MID($B$513,15,1))</f>
        <v>0</v>
      </c>
      <c r="C528">
        <f>MOD(MOD(_xlfn.BITXOR(C527,B528),256)*16777216+_xlfn.BITXOR(C527,B528)*403,4294967296)</f>
        <v>0</v>
      </c>
    </row>
    <row r="529" spans="1:3">
      <c r="B529">
        <f>_xlfn.UNICODE(MID($B$513,16,1))</f>
        <v>0</v>
      </c>
      <c r="C529">
        <f>MOD(MOD(_xlfn.BITXOR(C528,B529),256)*16777216+_xlfn.BITXOR(C528,B529)*403,4294967296)</f>
        <v>0</v>
      </c>
    </row>
    <row r="530" spans="1:3">
      <c r="B530">
        <f>_xlfn.UNICODE(MID($B$513,17,1))</f>
        <v>0</v>
      </c>
      <c r="C530">
        <f>MOD(MOD(_xlfn.BITXOR(C529,B530),256)*16777216+_xlfn.BITXOR(C529,B530)*403,4294967296)</f>
        <v>0</v>
      </c>
    </row>
    <row r="531" spans="1:3">
      <c r="B531">
        <f>_xlfn.UNICODE(MID($B$513,18,1))</f>
        <v>0</v>
      </c>
      <c r="C531">
        <f>MOD(MOD(_xlfn.BITXOR(C530,B531),256)*16777216+_xlfn.BITXOR(C530,B531)*403,4294967296)</f>
        <v>0</v>
      </c>
    </row>
    <row r="532" spans="1:3">
      <c r="B532">
        <f>_xlfn.UNICODE(MID($B$513,19,1))</f>
        <v>0</v>
      </c>
      <c r="C532">
        <f>MOD(MOD(_xlfn.BITXOR(C531,B532),256)*16777216+_xlfn.BITXOR(C531,B532)*403,4294967296)</f>
        <v>0</v>
      </c>
    </row>
    <row r="533" spans="1:3">
      <c r="B533">
        <f>_xlfn.UNICODE(MID($B$513,20,1))</f>
        <v>0</v>
      </c>
      <c r="C533">
        <f>MOD(MOD(_xlfn.BITXOR(C532,B533),256)*16777216+_xlfn.BITXOR(C532,B533)*403,4294967296)</f>
        <v>0</v>
      </c>
    </row>
    <row r="534" spans="1:3">
      <c r="B534">
        <f>_xlfn.UNICODE(MID($B$513,21,1))</f>
        <v>0</v>
      </c>
      <c r="C534">
        <f>MOD(MOD(_xlfn.BITXOR(C533,B534),256)*16777216+_xlfn.BITXOR(C533,B534)*403,4294967296)</f>
        <v>0</v>
      </c>
    </row>
    <row r="535" spans="1:3">
      <c r="B535">
        <f>_xlfn.UNICODE(MID($B$513,22,1))</f>
        <v>0</v>
      </c>
      <c r="C535">
        <f>MOD(MOD(_xlfn.BITXOR(C534,B535),256)*16777216+_xlfn.BITXOR(C534,B535)*403,4294967296)</f>
        <v>0</v>
      </c>
    </row>
    <row r="536" spans="1:3">
      <c r="B536">
        <f>_xlfn.UNICODE(MID($B$513,23,1))</f>
        <v>0</v>
      </c>
      <c r="C536">
        <f>MOD(MOD(_xlfn.BITXOR(C535,B536),256)*16777216+_xlfn.BITXOR(C535,B536)*403,4294967296)</f>
        <v>0</v>
      </c>
    </row>
    <row r="537" spans="1:3">
      <c r="B537">
        <f>_xlfn.UNICODE(MID($B$513,24,1))</f>
        <v>0</v>
      </c>
      <c r="C537">
        <f>MOD(MOD(_xlfn.BITXOR(C536,B537),256)*16777216+_xlfn.BITXOR(C536,B537)*403,4294967296)</f>
        <v>0</v>
      </c>
    </row>
    <row r="538" spans="1:3">
      <c r="B538">
        <f>_xlfn.UNICODE(MID($B$513,25,1))</f>
        <v>0</v>
      </c>
      <c r="C538">
        <f>MOD(MOD(_xlfn.BITXOR(C537,B538),256)*16777216+_xlfn.BITXOR(C537,B538)*403,4294967296)</f>
        <v>0</v>
      </c>
    </row>
    <row r="539" spans="1:3">
      <c r="B539">
        <f>_xlfn.UNICODE(MID($B$513,26,1))</f>
        <v>0</v>
      </c>
      <c r="C539">
        <f>MOD(MOD(_xlfn.BITXOR(C538,B539),256)*16777216+_xlfn.BITXOR(C538,B539)*403,4294967296)</f>
        <v>0</v>
      </c>
    </row>
    <row r="540" spans="1:3">
      <c r="B540">
        <f>_xlfn.UNICODE(MID($B$513,27,1))</f>
        <v>0</v>
      </c>
      <c r="C540">
        <f>MOD(MOD(_xlfn.BITXOR(C539,B540),256)*16777216+_xlfn.BITXOR(C539,B540)*403,4294967296)</f>
        <v>0</v>
      </c>
    </row>
    <row r="541" spans="1:3">
      <c r="B541">
        <f>_xlfn.UNICODE(MID($B$513,28,1))</f>
        <v>0</v>
      </c>
      <c r="C541">
        <f>MOD(MOD(_xlfn.BITXOR(C540,B541),256)*16777216+_xlfn.BITXOR(C540,B541)*403,4294967296)</f>
        <v>0</v>
      </c>
    </row>
    <row r="542" spans="1:3">
      <c r="B542">
        <f>_xlfn.UNICODE(MID($B$513,29,1))</f>
        <v>0</v>
      </c>
      <c r="C542">
        <f>MOD(MOD(_xlfn.BITXOR(C541,B542),256)*16777216+_xlfn.BITXOR(C541,B542)*403,4294967296)</f>
        <v>0</v>
      </c>
    </row>
    <row r="543" spans="1:3">
      <c r="B543">
        <f>_xlfn.UNICODE(MID($B$513,30,1))</f>
        <v>0</v>
      </c>
      <c r="C543">
        <f>MOD(MOD(_xlfn.BITXOR(C542,B543),256)*16777216+_xlfn.BITXOR(C542,B543)*403,4294967296)</f>
        <v>0</v>
      </c>
    </row>
    <row r="544" spans="1:3">
      <c r="A544" t="s">
        <v>135</v>
      </c>
      <c r="B544">
        <f>"dzi"&amp;Calcul!$B$82&amp;14</f>
        <v>0</v>
      </c>
    </row>
    <row r="545" spans="2:3">
      <c r="B545">
        <f>_xlfn.UNICODE(MID($B$544,1,1))</f>
        <v>0</v>
      </c>
      <c r="C545">
        <f>MOD(MOD(_xlfn.BITXOR(C543,B545),256)*16777216+_xlfn.BITXOR(C543,B545)*403,4294967296)</f>
        <v>0</v>
      </c>
    </row>
    <row r="546" spans="2:3">
      <c r="B546">
        <f>_xlfn.UNICODE(MID($B$544,2,1))</f>
        <v>0</v>
      </c>
      <c r="C546">
        <f>MOD(MOD(_xlfn.BITXOR(C545,B546),256)*16777216+_xlfn.BITXOR(C545,B546)*403,4294967296)</f>
        <v>0</v>
      </c>
    </row>
    <row r="547" spans="2:3">
      <c r="B547">
        <f>_xlfn.UNICODE(MID($B$544,3,1))</f>
        <v>0</v>
      </c>
      <c r="C547">
        <f>MOD(MOD(_xlfn.BITXOR(C546,B547),256)*16777216+_xlfn.BITXOR(C546,B547)*403,4294967296)</f>
        <v>0</v>
      </c>
    </row>
    <row r="548" spans="2:3">
      <c r="B548">
        <f>_xlfn.UNICODE(MID($B$544,4,1))</f>
        <v>0</v>
      </c>
      <c r="C548">
        <f>MOD(MOD(_xlfn.BITXOR(C547,B548),256)*16777216+_xlfn.BITXOR(C547,B548)*403,4294967296)</f>
        <v>0</v>
      </c>
    </row>
    <row r="549" spans="2:3">
      <c r="B549">
        <f>_xlfn.UNICODE(MID($B$544,5,1))</f>
        <v>0</v>
      </c>
      <c r="C549">
        <f>MOD(MOD(_xlfn.BITXOR(C548,B549),256)*16777216+_xlfn.BITXOR(C548,B549)*403,4294967296)</f>
        <v>0</v>
      </c>
    </row>
    <row r="550" spans="2:3">
      <c r="B550">
        <f>_xlfn.UNICODE(MID($B$544,6,1))</f>
        <v>0</v>
      </c>
      <c r="C550">
        <f>MOD(MOD(_xlfn.BITXOR(C549,B550),256)*16777216+_xlfn.BITXOR(C549,B550)*403,4294967296)</f>
        <v>0</v>
      </c>
    </row>
    <row r="551" spans="2:3">
      <c r="B551">
        <f>_xlfn.UNICODE(MID($B$544,7,1))</f>
        <v>0</v>
      </c>
      <c r="C551">
        <f>MOD(MOD(_xlfn.BITXOR(C550,B551),256)*16777216+_xlfn.BITXOR(C550,B551)*403,4294967296)</f>
        <v>0</v>
      </c>
    </row>
    <row r="552" spans="2:3">
      <c r="B552">
        <f>_xlfn.UNICODE(MID($B$544,8,1))</f>
        <v>0</v>
      </c>
      <c r="C552">
        <f>MOD(MOD(_xlfn.BITXOR(C551,B552),256)*16777216+_xlfn.BITXOR(C551,B552)*403,4294967296)</f>
        <v>0</v>
      </c>
    </row>
    <row r="553" spans="2:3">
      <c r="B553">
        <f>_xlfn.UNICODE(MID($B$544,9,1))</f>
        <v>0</v>
      </c>
      <c r="C553">
        <f>MOD(MOD(_xlfn.BITXOR(C552,B553),256)*16777216+_xlfn.BITXOR(C552,B553)*403,4294967296)</f>
        <v>0</v>
      </c>
    </row>
    <row r="554" spans="2:3">
      <c r="B554">
        <f>_xlfn.UNICODE(MID($B$544,10,1))</f>
        <v>0</v>
      </c>
      <c r="C554">
        <f>MOD(MOD(_xlfn.BITXOR(C553,B554),256)*16777216+_xlfn.BITXOR(C553,B554)*403,4294967296)</f>
        <v>0</v>
      </c>
    </row>
    <row r="555" spans="2:3">
      <c r="B555">
        <f>_xlfn.UNICODE(MID($B$544,11,1))</f>
        <v>0</v>
      </c>
      <c r="C555">
        <f>MOD(MOD(_xlfn.BITXOR(C554,B555),256)*16777216+_xlfn.BITXOR(C554,B555)*403,4294967296)</f>
        <v>0</v>
      </c>
    </row>
    <row r="556" spans="2:3">
      <c r="B556">
        <f>_xlfn.UNICODE(MID($B$544,12,1))</f>
        <v>0</v>
      </c>
      <c r="C556">
        <f>MOD(MOD(_xlfn.BITXOR(C555,B556),256)*16777216+_xlfn.BITXOR(C555,B556)*403,4294967296)</f>
        <v>0</v>
      </c>
    </row>
    <row r="557" spans="2:3">
      <c r="B557">
        <f>_xlfn.UNICODE(MID($B$544,13,1))</f>
        <v>0</v>
      </c>
      <c r="C557">
        <f>MOD(MOD(_xlfn.BITXOR(C556,B557),256)*16777216+_xlfn.BITXOR(C556,B557)*403,4294967296)</f>
        <v>0</v>
      </c>
    </row>
    <row r="558" spans="2:3">
      <c r="B558">
        <f>_xlfn.UNICODE(MID($B$544,14,1))</f>
        <v>0</v>
      </c>
      <c r="C558">
        <f>MOD(MOD(_xlfn.BITXOR(C557,B558),256)*16777216+_xlfn.BITXOR(C557,B558)*403,4294967296)</f>
        <v>0</v>
      </c>
    </row>
    <row r="559" spans="2:3">
      <c r="B559">
        <f>_xlfn.UNICODE(MID($B$544,15,1))</f>
        <v>0</v>
      </c>
      <c r="C559">
        <f>MOD(MOD(_xlfn.BITXOR(C558,B559),256)*16777216+_xlfn.BITXOR(C558,B559)*403,4294967296)</f>
        <v>0</v>
      </c>
    </row>
    <row r="560" spans="2:3">
      <c r="B560">
        <f>_xlfn.UNICODE(MID($B$544,16,1))</f>
        <v>0</v>
      </c>
      <c r="C560">
        <f>MOD(MOD(_xlfn.BITXOR(C559,B560),256)*16777216+_xlfn.BITXOR(C559,B560)*403,4294967296)</f>
        <v>0</v>
      </c>
    </row>
    <row r="561" spans="1:3">
      <c r="B561">
        <f>_xlfn.UNICODE(MID($B$544,17,1))</f>
        <v>0</v>
      </c>
      <c r="C561">
        <f>MOD(MOD(_xlfn.BITXOR(C560,B561),256)*16777216+_xlfn.BITXOR(C560,B561)*403,4294967296)</f>
        <v>0</v>
      </c>
    </row>
    <row r="562" spans="1:3">
      <c r="B562">
        <f>_xlfn.UNICODE(MID($B$544,18,1))</f>
        <v>0</v>
      </c>
      <c r="C562">
        <f>MOD(MOD(_xlfn.BITXOR(C561,B562),256)*16777216+_xlfn.BITXOR(C561,B562)*403,4294967296)</f>
        <v>0</v>
      </c>
    </row>
    <row r="563" spans="1:3">
      <c r="B563">
        <f>_xlfn.UNICODE(MID($B$544,19,1))</f>
        <v>0</v>
      </c>
      <c r="C563">
        <f>MOD(MOD(_xlfn.BITXOR(C562,B563),256)*16777216+_xlfn.BITXOR(C562,B563)*403,4294967296)</f>
        <v>0</v>
      </c>
    </row>
    <row r="564" spans="1:3">
      <c r="B564">
        <f>_xlfn.UNICODE(MID($B$544,20,1))</f>
        <v>0</v>
      </c>
      <c r="C564">
        <f>MOD(MOD(_xlfn.BITXOR(C563,B564),256)*16777216+_xlfn.BITXOR(C563,B564)*403,4294967296)</f>
        <v>0</v>
      </c>
    </row>
    <row r="565" spans="1:3">
      <c r="B565">
        <f>_xlfn.UNICODE(MID($B$544,21,1))</f>
        <v>0</v>
      </c>
      <c r="C565">
        <f>MOD(MOD(_xlfn.BITXOR(C564,B565),256)*16777216+_xlfn.BITXOR(C564,B565)*403,4294967296)</f>
        <v>0</v>
      </c>
    </row>
    <row r="566" spans="1:3">
      <c r="B566">
        <f>_xlfn.UNICODE(MID($B$544,22,1))</f>
        <v>0</v>
      </c>
      <c r="C566">
        <f>MOD(MOD(_xlfn.BITXOR(C565,B566),256)*16777216+_xlfn.BITXOR(C565,B566)*403,4294967296)</f>
        <v>0</v>
      </c>
    </row>
    <row r="567" spans="1:3">
      <c r="B567">
        <f>_xlfn.UNICODE(MID($B$544,23,1))</f>
        <v>0</v>
      </c>
      <c r="C567">
        <f>MOD(MOD(_xlfn.BITXOR(C566,B567),256)*16777216+_xlfn.BITXOR(C566,B567)*403,4294967296)</f>
        <v>0</v>
      </c>
    </row>
    <row r="568" spans="1:3">
      <c r="B568">
        <f>_xlfn.UNICODE(MID($B$544,24,1))</f>
        <v>0</v>
      </c>
      <c r="C568">
        <f>MOD(MOD(_xlfn.BITXOR(C567,B568),256)*16777216+_xlfn.BITXOR(C567,B568)*403,4294967296)</f>
        <v>0</v>
      </c>
    </row>
    <row r="569" spans="1:3">
      <c r="B569">
        <f>_xlfn.UNICODE(MID($B$544,25,1))</f>
        <v>0</v>
      </c>
      <c r="C569">
        <f>MOD(MOD(_xlfn.BITXOR(C568,B569),256)*16777216+_xlfn.BITXOR(C568,B569)*403,4294967296)</f>
        <v>0</v>
      </c>
    </row>
    <row r="570" spans="1:3">
      <c r="B570">
        <f>_xlfn.UNICODE(MID($B$544,26,1))</f>
        <v>0</v>
      </c>
      <c r="C570">
        <f>MOD(MOD(_xlfn.BITXOR(C569,B570),256)*16777216+_xlfn.BITXOR(C569,B570)*403,4294967296)</f>
        <v>0</v>
      </c>
    </row>
    <row r="571" spans="1:3">
      <c r="B571">
        <f>_xlfn.UNICODE(MID($B$544,27,1))</f>
        <v>0</v>
      </c>
      <c r="C571">
        <f>MOD(MOD(_xlfn.BITXOR(C570,B571),256)*16777216+_xlfn.BITXOR(C570,B571)*403,4294967296)</f>
        <v>0</v>
      </c>
    </row>
    <row r="572" spans="1:3">
      <c r="B572">
        <f>_xlfn.UNICODE(MID($B$544,28,1))</f>
        <v>0</v>
      </c>
      <c r="C572">
        <f>MOD(MOD(_xlfn.BITXOR(C571,B572),256)*16777216+_xlfn.BITXOR(C571,B572)*403,4294967296)</f>
        <v>0</v>
      </c>
    </row>
    <row r="573" spans="1:3">
      <c r="B573">
        <f>_xlfn.UNICODE(MID($B$544,29,1))</f>
        <v>0</v>
      </c>
      <c r="C573">
        <f>MOD(MOD(_xlfn.BITXOR(C572,B573),256)*16777216+_xlfn.BITXOR(C572,B573)*403,4294967296)</f>
        <v>0</v>
      </c>
    </row>
    <row r="574" spans="1:3">
      <c r="B574">
        <f>_xlfn.UNICODE(MID($B$544,30,1))</f>
        <v>0</v>
      </c>
      <c r="C574">
        <f>MOD(MOD(_xlfn.BITXOR(C573,B574),256)*16777216+_xlfn.BITXOR(C573,B574)*403,4294967296)</f>
        <v>0</v>
      </c>
    </row>
    <row r="575" spans="1:3">
      <c r="A575" t="s">
        <v>138</v>
      </c>
      <c r="B575">
        <f>"dzi"&amp;Calcul!$B$82&amp;16</f>
        <v>0</v>
      </c>
    </row>
    <row r="576" spans="1:3">
      <c r="B576">
        <f>_xlfn.UNICODE(MID($B$575,1,1))</f>
        <v>0</v>
      </c>
      <c r="C576">
        <f>MOD(MOD(_xlfn.BITXOR(C574,B576),256)*16777216+_xlfn.BITXOR(C574,B576)*403,4294967296)</f>
        <v>0</v>
      </c>
    </row>
    <row r="577" spans="2:3">
      <c r="B577">
        <f>_xlfn.UNICODE(MID($B$575,2,1))</f>
        <v>0</v>
      </c>
      <c r="C577">
        <f>MOD(MOD(_xlfn.BITXOR(C576,B577),256)*16777216+_xlfn.BITXOR(C576,B577)*403,4294967296)</f>
        <v>0</v>
      </c>
    </row>
    <row r="578" spans="2:3">
      <c r="B578">
        <f>_xlfn.UNICODE(MID($B$575,3,1))</f>
        <v>0</v>
      </c>
      <c r="C578">
        <f>MOD(MOD(_xlfn.BITXOR(C577,B578),256)*16777216+_xlfn.BITXOR(C577,B578)*403,4294967296)</f>
        <v>0</v>
      </c>
    </row>
    <row r="579" spans="2:3">
      <c r="B579">
        <f>_xlfn.UNICODE(MID($B$575,4,1))</f>
        <v>0</v>
      </c>
      <c r="C579">
        <f>MOD(MOD(_xlfn.BITXOR(C578,B579),256)*16777216+_xlfn.BITXOR(C578,B579)*403,4294967296)</f>
        <v>0</v>
      </c>
    </row>
    <row r="580" spans="2:3">
      <c r="B580">
        <f>_xlfn.UNICODE(MID($B$575,5,1))</f>
        <v>0</v>
      </c>
      <c r="C580">
        <f>MOD(MOD(_xlfn.BITXOR(C579,B580),256)*16777216+_xlfn.BITXOR(C579,B580)*403,4294967296)</f>
        <v>0</v>
      </c>
    </row>
    <row r="581" spans="2:3">
      <c r="B581">
        <f>_xlfn.UNICODE(MID($B$575,6,1))</f>
        <v>0</v>
      </c>
      <c r="C581">
        <f>MOD(MOD(_xlfn.BITXOR(C580,B581),256)*16777216+_xlfn.BITXOR(C580,B581)*403,4294967296)</f>
        <v>0</v>
      </c>
    </row>
    <row r="582" spans="2:3">
      <c r="B582">
        <f>_xlfn.UNICODE(MID($B$575,7,1))</f>
        <v>0</v>
      </c>
      <c r="C582">
        <f>MOD(MOD(_xlfn.BITXOR(C581,B582),256)*16777216+_xlfn.BITXOR(C581,B582)*403,4294967296)</f>
        <v>0</v>
      </c>
    </row>
    <row r="583" spans="2:3">
      <c r="B583">
        <f>_xlfn.UNICODE(MID($B$575,8,1))</f>
        <v>0</v>
      </c>
      <c r="C583">
        <f>MOD(MOD(_xlfn.BITXOR(C582,B583),256)*16777216+_xlfn.BITXOR(C582,B583)*403,4294967296)</f>
        <v>0</v>
      </c>
    </row>
    <row r="584" spans="2:3">
      <c r="B584">
        <f>_xlfn.UNICODE(MID($B$575,9,1))</f>
        <v>0</v>
      </c>
      <c r="C584">
        <f>MOD(MOD(_xlfn.BITXOR(C583,B584),256)*16777216+_xlfn.BITXOR(C583,B584)*403,4294967296)</f>
        <v>0</v>
      </c>
    </row>
    <row r="585" spans="2:3">
      <c r="B585">
        <f>_xlfn.UNICODE(MID($B$575,10,1))</f>
        <v>0</v>
      </c>
      <c r="C585">
        <f>MOD(MOD(_xlfn.BITXOR(C584,B585),256)*16777216+_xlfn.BITXOR(C584,B585)*403,4294967296)</f>
        <v>0</v>
      </c>
    </row>
    <row r="586" spans="2:3">
      <c r="B586">
        <f>_xlfn.UNICODE(MID($B$575,11,1))</f>
        <v>0</v>
      </c>
      <c r="C586">
        <f>MOD(MOD(_xlfn.BITXOR(C585,B586),256)*16777216+_xlfn.BITXOR(C585,B586)*403,4294967296)</f>
        <v>0</v>
      </c>
    </row>
    <row r="587" spans="2:3">
      <c r="B587">
        <f>_xlfn.UNICODE(MID($B$575,12,1))</f>
        <v>0</v>
      </c>
      <c r="C587">
        <f>MOD(MOD(_xlfn.BITXOR(C586,B587),256)*16777216+_xlfn.BITXOR(C586,B587)*403,4294967296)</f>
        <v>0</v>
      </c>
    </row>
    <row r="588" spans="2:3">
      <c r="B588">
        <f>_xlfn.UNICODE(MID($B$575,13,1))</f>
        <v>0</v>
      </c>
      <c r="C588">
        <f>MOD(MOD(_xlfn.BITXOR(C587,B588),256)*16777216+_xlfn.BITXOR(C587,B588)*403,4294967296)</f>
        <v>0</v>
      </c>
    </row>
    <row r="589" spans="2:3">
      <c r="B589">
        <f>_xlfn.UNICODE(MID($B$575,14,1))</f>
        <v>0</v>
      </c>
      <c r="C589">
        <f>MOD(MOD(_xlfn.BITXOR(C588,B589),256)*16777216+_xlfn.BITXOR(C588,B589)*403,4294967296)</f>
        <v>0</v>
      </c>
    </row>
    <row r="590" spans="2:3">
      <c r="B590">
        <f>_xlfn.UNICODE(MID($B$575,15,1))</f>
        <v>0</v>
      </c>
      <c r="C590">
        <f>MOD(MOD(_xlfn.BITXOR(C589,B590),256)*16777216+_xlfn.BITXOR(C589,B590)*403,4294967296)</f>
        <v>0</v>
      </c>
    </row>
    <row r="591" spans="2:3">
      <c r="B591">
        <f>_xlfn.UNICODE(MID($B$575,16,1))</f>
        <v>0</v>
      </c>
      <c r="C591">
        <f>MOD(MOD(_xlfn.BITXOR(C590,B591),256)*16777216+_xlfn.BITXOR(C590,B591)*403,4294967296)</f>
        <v>0</v>
      </c>
    </row>
    <row r="592" spans="2:3">
      <c r="B592">
        <f>_xlfn.UNICODE(MID($B$575,17,1))</f>
        <v>0</v>
      </c>
      <c r="C592">
        <f>MOD(MOD(_xlfn.BITXOR(C591,B592),256)*16777216+_xlfn.BITXOR(C591,B592)*403,4294967296)</f>
        <v>0</v>
      </c>
    </row>
    <row r="593" spans="1:3">
      <c r="B593">
        <f>_xlfn.UNICODE(MID($B$575,18,1))</f>
        <v>0</v>
      </c>
      <c r="C593">
        <f>MOD(MOD(_xlfn.BITXOR(C592,B593),256)*16777216+_xlfn.BITXOR(C592,B593)*403,4294967296)</f>
        <v>0</v>
      </c>
    </row>
    <row r="594" spans="1:3">
      <c r="B594">
        <f>_xlfn.UNICODE(MID($B$575,19,1))</f>
        <v>0</v>
      </c>
      <c r="C594">
        <f>MOD(MOD(_xlfn.BITXOR(C593,B594),256)*16777216+_xlfn.BITXOR(C593,B594)*403,4294967296)</f>
        <v>0</v>
      </c>
    </row>
    <row r="595" spans="1:3">
      <c r="B595">
        <f>_xlfn.UNICODE(MID($B$575,20,1))</f>
        <v>0</v>
      </c>
      <c r="C595">
        <f>MOD(MOD(_xlfn.BITXOR(C594,B595),256)*16777216+_xlfn.BITXOR(C594,B595)*403,4294967296)</f>
        <v>0</v>
      </c>
    </row>
    <row r="596" spans="1:3">
      <c r="B596">
        <f>_xlfn.UNICODE(MID($B$575,21,1))</f>
        <v>0</v>
      </c>
      <c r="C596">
        <f>MOD(MOD(_xlfn.BITXOR(C595,B596),256)*16777216+_xlfn.BITXOR(C595,B596)*403,4294967296)</f>
        <v>0</v>
      </c>
    </row>
    <row r="597" spans="1:3">
      <c r="B597">
        <f>_xlfn.UNICODE(MID($B$575,22,1))</f>
        <v>0</v>
      </c>
      <c r="C597">
        <f>MOD(MOD(_xlfn.BITXOR(C596,B597),256)*16777216+_xlfn.BITXOR(C596,B597)*403,4294967296)</f>
        <v>0</v>
      </c>
    </row>
    <row r="598" spans="1:3">
      <c r="B598">
        <f>_xlfn.UNICODE(MID($B$575,23,1))</f>
        <v>0</v>
      </c>
      <c r="C598">
        <f>MOD(MOD(_xlfn.BITXOR(C597,B598),256)*16777216+_xlfn.BITXOR(C597,B598)*403,4294967296)</f>
        <v>0</v>
      </c>
    </row>
    <row r="599" spans="1:3">
      <c r="B599">
        <f>_xlfn.UNICODE(MID($B$575,24,1))</f>
        <v>0</v>
      </c>
      <c r="C599">
        <f>MOD(MOD(_xlfn.BITXOR(C598,B599),256)*16777216+_xlfn.BITXOR(C598,B599)*403,4294967296)</f>
        <v>0</v>
      </c>
    </row>
    <row r="600" spans="1:3">
      <c r="B600">
        <f>_xlfn.UNICODE(MID($B$575,25,1))</f>
        <v>0</v>
      </c>
      <c r="C600">
        <f>MOD(MOD(_xlfn.BITXOR(C599,B600),256)*16777216+_xlfn.BITXOR(C599,B600)*403,4294967296)</f>
        <v>0</v>
      </c>
    </row>
    <row r="601" spans="1:3">
      <c r="B601">
        <f>_xlfn.UNICODE(MID($B$575,26,1))</f>
        <v>0</v>
      </c>
      <c r="C601">
        <f>MOD(MOD(_xlfn.BITXOR(C600,B601),256)*16777216+_xlfn.BITXOR(C600,B601)*403,4294967296)</f>
        <v>0</v>
      </c>
    </row>
    <row r="602" spans="1:3">
      <c r="B602">
        <f>_xlfn.UNICODE(MID($B$575,27,1))</f>
        <v>0</v>
      </c>
      <c r="C602">
        <f>MOD(MOD(_xlfn.BITXOR(C601,B602),256)*16777216+_xlfn.BITXOR(C601,B602)*403,4294967296)</f>
        <v>0</v>
      </c>
    </row>
    <row r="603" spans="1:3">
      <c r="B603">
        <f>_xlfn.UNICODE(MID($B$575,28,1))</f>
        <v>0</v>
      </c>
      <c r="C603">
        <f>MOD(MOD(_xlfn.BITXOR(C602,B603),256)*16777216+_xlfn.BITXOR(C602,B603)*403,4294967296)</f>
        <v>0</v>
      </c>
    </row>
    <row r="604" spans="1:3">
      <c r="B604">
        <f>_xlfn.UNICODE(MID($B$575,29,1))</f>
        <v>0</v>
      </c>
      <c r="C604">
        <f>MOD(MOD(_xlfn.BITXOR(C603,B604),256)*16777216+_xlfn.BITXOR(C603,B604)*403,4294967296)</f>
        <v>0</v>
      </c>
    </row>
    <row r="605" spans="1:3">
      <c r="B605">
        <f>_xlfn.UNICODE(MID($B$575,30,1))</f>
        <v>0</v>
      </c>
      <c r="C605">
        <f>MOD(MOD(_xlfn.BITXOR(C604,B605),256)*16777216+_xlfn.BITXOR(C604,B605)*403,4294967296)</f>
        <v>0</v>
      </c>
    </row>
    <row r="606" spans="1:3">
      <c r="A606" t="s">
        <v>139</v>
      </c>
      <c r="B606">
        <f>"dzi"&amp;Calcul!$B$82&amp;18</f>
        <v>0</v>
      </c>
    </row>
    <row r="607" spans="1:3">
      <c r="B607">
        <f>_xlfn.UNICODE(MID($B$606,1,1))</f>
        <v>0</v>
      </c>
      <c r="C607">
        <f>MOD(MOD(_xlfn.BITXOR(C605,B607),256)*16777216+_xlfn.BITXOR(C605,B607)*403,4294967296)</f>
        <v>0</v>
      </c>
    </row>
    <row r="608" spans="1:3">
      <c r="B608">
        <f>_xlfn.UNICODE(MID($B$606,2,1))</f>
        <v>0</v>
      </c>
      <c r="C608">
        <f>MOD(MOD(_xlfn.BITXOR(C607,B608),256)*16777216+_xlfn.BITXOR(C607,B608)*403,4294967296)</f>
        <v>0</v>
      </c>
    </row>
    <row r="609" spans="2:3">
      <c r="B609">
        <f>_xlfn.UNICODE(MID($B$606,3,1))</f>
        <v>0</v>
      </c>
      <c r="C609">
        <f>MOD(MOD(_xlfn.BITXOR(C608,B609),256)*16777216+_xlfn.BITXOR(C608,B609)*403,4294967296)</f>
        <v>0</v>
      </c>
    </row>
    <row r="610" spans="2:3">
      <c r="B610">
        <f>_xlfn.UNICODE(MID($B$606,4,1))</f>
        <v>0</v>
      </c>
      <c r="C610">
        <f>MOD(MOD(_xlfn.BITXOR(C609,B610),256)*16777216+_xlfn.BITXOR(C609,B610)*403,4294967296)</f>
        <v>0</v>
      </c>
    </row>
    <row r="611" spans="2:3">
      <c r="B611">
        <f>_xlfn.UNICODE(MID($B$606,5,1))</f>
        <v>0</v>
      </c>
      <c r="C611">
        <f>MOD(MOD(_xlfn.BITXOR(C610,B611),256)*16777216+_xlfn.BITXOR(C610,B611)*403,4294967296)</f>
        <v>0</v>
      </c>
    </row>
    <row r="612" spans="2:3">
      <c r="B612">
        <f>_xlfn.UNICODE(MID($B$606,6,1))</f>
        <v>0</v>
      </c>
      <c r="C612">
        <f>MOD(MOD(_xlfn.BITXOR(C611,B612),256)*16777216+_xlfn.BITXOR(C611,B612)*403,4294967296)</f>
        <v>0</v>
      </c>
    </row>
    <row r="613" spans="2:3">
      <c r="B613">
        <f>_xlfn.UNICODE(MID($B$606,7,1))</f>
        <v>0</v>
      </c>
      <c r="C613">
        <f>MOD(MOD(_xlfn.BITXOR(C612,B613),256)*16777216+_xlfn.BITXOR(C612,B613)*403,4294967296)</f>
        <v>0</v>
      </c>
    </row>
    <row r="614" spans="2:3">
      <c r="B614">
        <f>_xlfn.UNICODE(MID($B$606,8,1))</f>
        <v>0</v>
      </c>
      <c r="C614">
        <f>MOD(MOD(_xlfn.BITXOR(C613,B614),256)*16777216+_xlfn.BITXOR(C613,B614)*403,4294967296)</f>
        <v>0</v>
      </c>
    </row>
    <row r="615" spans="2:3">
      <c r="B615">
        <f>_xlfn.UNICODE(MID($B$606,9,1))</f>
        <v>0</v>
      </c>
      <c r="C615">
        <f>MOD(MOD(_xlfn.BITXOR(C614,B615),256)*16777216+_xlfn.BITXOR(C614,B615)*403,4294967296)</f>
        <v>0</v>
      </c>
    </row>
    <row r="616" spans="2:3">
      <c r="B616">
        <f>_xlfn.UNICODE(MID($B$606,10,1))</f>
        <v>0</v>
      </c>
      <c r="C616">
        <f>MOD(MOD(_xlfn.BITXOR(C615,B616),256)*16777216+_xlfn.BITXOR(C615,B616)*403,4294967296)</f>
        <v>0</v>
      </c>
    </row>
    <row r="617" spans="2:3">
      <c r="B617">
        <f>_xlfn.UNICODE(MID($B$606,11,1))</f>
        <v>0</v>
      </c>
      <c r="C617">
        <f>MOD(MOD(_xlfn.BITXOR(C616,B617),256)*16777216+_xlfn.BITXOR(C616,B617)*403,4294967296)</f>
        <v>0</v>
      </c>
    </row>
    <row r="618" spans="2:3">
      <c r="B618">
        <f>_xlfn.UNICODE(MID($B$606,12,1))</f>
        <v>0</v>
      </c>
      <c r="C618">
        <f>MOD(MOD(_xlfn.BITXOR(C617,B618),256)*16777216+_xlfn.BITXOR(C617,B618)*403,4294967296)</f>
        <v>0</v>
      </c>
    </row>
    <row r="619" spans="2:3">
      <c r="B619">
        <f>_xlfn.UNICODE(MID($B$606,13,1))</f>
        <v>0</v>
      </c>
      <c r="C619">
        <f>MOD(MOD(_xlfn.BITXOR(C618,B619),256)*16777216+_xlfn.BITXOR(C618,B619)*403,4294967296)</f>
        <v>0</v>
      </c>
    </row>
    <row r="620" spans="2:3">
      <c r="B620">
        <f>_xlfn.UNICODE(MID($B$606,14,1))</f>
        <v>0</v>
      </c>
      <c r="C620">
        <f>MOD(MOD(_xlfn.BITXOR(C619,B620),256)*16777216+_xlfn.BITXOR(C619,B620)*403,4294967296)</f>
        <v>0</v>
      </c>
    </row>
    <row r="621" spans="2:3">
      <c r="B621">
        <f>_xlfn.UNICODE(MID($B$606,15,1))</f>
        <v>0</v>
      </c>
      <c r="C621">
        <f>MOD(MOD(_xlfn.BITXOR(C620,B621),256)*16777216+_xlfn.BITXOR(C620,B621)*403,4294967296)</f>
        <v>0</v>
      </c>
    </row>
    <row r="622" spans="2:3">
      <c r="B622">
        <f>_xlfn.UNICODE(MID($B$606,16,1))</f>
        <v>0</v>
      </c>
      <c r="C622">
        <f>MOD(MOD(_xlfn.BITXOR(C621,B622),256)*16777216+_xlfn.BITXOR(C621,B622)*403,4294967296)</f>
        <v>0</v>
      </c>
    </row>
    <row r="623" spans="2:3">
      <c r="B623">
        <f>_xlfn.UNICODE(MID($B$606,17,1))</f>
        <v>0</v>
      </c>
      <c r="C623">
        <f>MOD(MOD(_xlfn.BITXOR(C622,B623),256)*16777216+_xlfn.BITXOR(C622,B623)*403,4294967296)</f>
        <v>0</v>
      </c>
    </row>
    <row r="624" spans="2:3">
      <c r="B624">
        <f>_xlfn.UNICODE(MID($B$606,18,1))</f>
        <v>0</v>
      </c>
      <c r="C624">
        <f>MOD(MOD(_xlfn.BITXOR(C623,B624),256)*16777216+_xlfn.BITXOR(C623,B624)*403,4294967296)</f>
        <v>0</v>
      </c>
    </row>
    <row r="625" spans="1:3">
      <c r="B625">
        <f>_xlfn.UNICODE(MID($B$606,19,1))</f>
        <v>0</v>
      </c>
      <c r="C625">
        <f>MOD(MOD(_xlfn.BITXOR(C624,B625),256)*16777216+_xlfn.BITXOR(C624,B625)*403,4294967296)</f>
        <v>0</v>
      </c>
    </row>
    <row r="626" spans="1:3">
      <c r="B626">
        <f>_xlfn.UNICODE(MID($B$606,20,1))</f>
        <v>0</v>
      </c>
      <c r="C626">
        <f>MOD(MOD(_xlfn.BITXOR(C625,B626),256)*16777216+_xlfn.BITXOR(C625,B626)*403,4294967296)</f>
        <v>0</v>
      </c>
    </row>
    <row r="627" spans="1:3">
      <c r="B627">
        <f>_xlfn.UNICODE(MID($B$606,21,1))</f>
        <v>0</v>
      </c>
      <c r="C627">
        <f>MOD(MOD(_xlfn.BITXOR(C626,B627),256)*16777216+_xlfn.BITXOR(C626,B627)*403,4294967296)</f>
        <v>0</v>
      </c>
    </row>
    <row r="628" spans="1:3">
      <c r="B628">
        <f>_xlfn.UNICODE(MID($B$606,22,1))</f>
        <v>0</v>
      </c>
      <c r="C628">
        <f>MOD(MOD(_xlfn.BITXOR(C627,B628),256)*16777216+_xlfn.BITXOR(C627,B628)*403,4294967296)</f>
        <v>0</v>
      </c>
    </row>
    <row r="629" spans="1:3">
      <c r="B629">
        <f>_xlfn.UNICODE(MID($B$606,23,1))</f>
        <v>0</v>
      </c>
      <c r="C629">
        <f>MOD(MOD(_xlfn.BITXOR(C628,B629),256)*16777216+_xlfn.BITXOR(C628,B629)*403,4294967296)</f>
        <v>0</v>
      </c>
    </row>
    <row r="630" spans="1:3">
      <c r="B630">
        <f>_xlfn.UNICODE(MID($B$606,24,1))</f>
        <v>0</v>
      </c>
      <c r="C630">
        <f>MOD(MOD(_xlfn.BITXOR(C629,B630),256)*16777216+_xlfn.BITXOR(C629,B630)*403,4294967296)</f>
        <v>0</v>
      </c>
    </row>
    <row r="631" spans="1:3">
      <c r="B631">
        <f>_xlfn.UNICODE(MID($B$606,25,1))</f>
        <v>0</v>
      </c>
      <c r="C631">
        <f>MOD(MOD(_xlfn.BITXOR(C630,B631),256)*16777216+_xlfn.BITXOR(C630,B631)*403,4294967296)</f>
        <v>0</v>
      </c>
    </row>
    <row r="632" spans="1:3">
      <c r="B632">
        <f>_xlfn.UNICODE(MID($B$606,26,1))</f>
        <v>0</v>
      </c>
      <c r="C632">
        <f>MOD(MOD(_xlfn.BITXOR(C631,B632),256)*16777216+_xlfn.BITXOR(C631,B632)*403,4294967296)</f>
        <v>0</v>
      </c>
    </row>
    <row r="633" spans="1:3">
      <c r="B633">
        <f>_xlfn.UNICODE(MID($B$606,27,1))</f>
        <v>0</v>
      </c>
      <c r="C633">
        <f>MOD(MOD(_xlfn.BITXOR(C632,B633),256)*16777216+_xlfn.BITXOR(C632,B633)*403,4294967296)</f>
        <v>0</v>
      </c>
    </row>
    <row r="634" spans="1:3">
      <c r="B634">
        <f>_xlfn.UNICODE(MID($B$606,28,1))</f>
        <v>0</v>
      </c>
      <c r="C634">
        <f>MOD(MOD(_xlfn.BITXOR(C633,B634),256)*16777216+_xlfn.BITXOR(C633,B634)*403,4294967296)</f>
        <v>0</v>
      </c>
    </row>
    <row r="635" spans="1:3">
      <c r="B635">
        <f>_xlfn.UNICODE(MID($B$606,29,1))</f>
        <v>0</v>
      </c>
      <c r="C635">
        <f>MOD(MOD(_xlfn.BITXOR(C634,B635),256)*16777216+_xlfn.BITXOR(C634,B635)*403,4294967296)</f>
        <v>0</v>
      </c>
    </row>
    <row r="636" spans="1:3">
      <c r="B636">
        <f>_xlfn.UNICODE(MID($B$606,30,1))</f>
        <v>0</v>
      </c>
      <c r="C636">
        <f>MOD(MOD(_xlfn.BITXOR(C635,B636),256)*16777216+_xlfn.BITXOR(C635,B636)*403,4294967296)</f>
        <v>0</v>
      </c>
    </row>
    <row r="637" spans="1:3">
      <c r="A637" t="s">
        <v>136</v>
      </c>
      <c r="B637">
        <f>LEFT(MID('Paramètres'!$D$2,MOD(C361,32)+1,1)&amp;MID('Paramètres'!$D$2,MOD(INT(C361/32),32)+1,1)&amp;MID('Paramètres'!$D$2,MOD(C391,32)+1,1)&amp;MID('Paramètres'!$D$2,MOD(INT(C391/32),32)+1,1)&amp;MID('Paramètres'!$D$2,MOD(C421,32)+1,1)&amp;MID('Paramètres'!$D$2,MOD(INT(C421/32),32)+1,1)&amp;MID('Paramètres'!$D$2,MOD(C451,32)+1,1)&amp;MID('Paramètres'!$D$2,MOD(INT(C451/32),32)+1,1)&amp;MID('Paramètres'!$D$2,MOD(C481,32)+1,1)&amp;MID('Paramètres'!$D$2,MOD(INT(C481/32),32)+1,1)&amp;MID('Paramètres'!$D$2,MOD(C512,32)+1,1)&amp;MID('Paramètres'!$D$2,MOD(INT(C512/32),32)+1,1)&amp;MID('Paramètres'!$D$2,MOD(C543,32)+1,1)&amp;MID('Paramètres'!$D$2,MOD(INT(C543/32),32)+1,1)&amp;MID('Paramètres'!$D$2,MOD(C574,32)+1,1)&amp;MID('Paramètres'!$D$2,MOD(INT(C574/32),32)+1,1)&amp;MID('Paramètres'!$D$2,MOD(C605,32)+1,1)&amp;MID('Paramètres'!$D$2,MOD(INT(C605/32),32)+1,1)&amp;MID('Paramètres'!$D$2,MOD(C636,32)+1,1)&amp;MID('Paramètres'!$D$2,MOD(INT(C636/32),32)+1,1),20)</f>
        <v>0</v>
      </c>
    </row>
    <row r="639" spans="1:3">
      <c r="A639" s="6" t="s">
        <v>140</v>
      </c>
    </row>
    <row r="640" spans="1:3">
      <c r="A640" t="s">
        <v>128</v>
      </c>
      <c r="B640">
        <f>"rty"&amp;Calcul!$B$82&amp;0</f>
        <v>0</v>
      </c>
    </row>
    <row r="641" spans="2:3">
      <c r="B641">
        <f>_xlfn.UNICODE(MID($B$640,1,1))</f>
        <v>0</v>
      </c>
      <c r="C641">
        <f>MOD(MOD(_xlfn.BITXOR(2166136261,B641),256)*16777216+_xlfn.BITXOR(2166136261,B641)*403,4294967296)</f>
        <v>0</v>
      </c>
    </row>
    <row r="642" spans="2:3">
      <c r="B642">
        <f>_xlfn.UNICODE(MID($B$640,2,1))</f>
        <v>0</v>
      </c>
      <c r="C642">
        <f>MOD(MOD(_xlfn.BITXOR(C641,B642),256)*16777216+_xlfn.BITXOR(C641,B642)*403,4294967296)</f>
        <v>0</v>
      </c>
    </row>
    <row r="643" spans="2:3">
      <c r="B643">
        <f>_xlfn.UNICODE(MID($B$640,3,1))</f>
        <v>0</v>
      </c>
      <c r="C643">
        <f>MOD(MOD(_xlfn.BITXOR(C642,B643),256)*16777216+_xlfn.BITXOR(C642,B643)*403,4294967296)</f>
        <v>0</v>
      </c>
    </row>
    <row r="644" spans="2:3">
      <c r="B644">
        <f>_xlfn.UNICODE(MID($B$640,4,1))</f>
        <v>0</v>
      </c>
      <c r="C644">
        <f>MOD(MOD(_xlfn.BITXOR(C643,B644),256)*16777216+_xlfn.BITXOR(C643,B644)*403,4294967296)</f>
        <v>0</v>
      </c>
    </row>
    <row r="645" spans="2:3">
      <c r="B645">
        <f>_xlfn.UNICODE(MID($B$640,5,1))</f>
        <v>0</v>
      </c>
      <c r="C645">
        <f>MOD(MOD(_xlfn.BITXOR(C644,B645),256)*16777216+_xlfn.BITXOR(C644,B645)*403,4294967296)</f>
        <v>0</v>
      </c>
    </row>
    <row r="646" spans="2:3">
      <c r="B646">
        <f>_xlfn.UNICODE(MID($B$640,6,1))</f>
        <v>0</v>
      </c>
      <c r="C646">
        <f>MOD(MOD(_xlfn.BITXOR(C645,B646),256)*16777216+_xlfn.BITXOR(C645,B646)*403,4294967296)</f>
        <v>0</v>
      </c>
    </row>
    <row r="647" spans="2:3">
      <c r="B647">
        <f>_xlfn.UNICODE(MID($B$640,7,1))</f>
        <v>0</v>
      </c>
      <c r="C647">
        <f>MOD(MOD(_xlfn.BITXOR(C646,B647),256)*16777216+_xlfn.BITXOR(C646,B647)*403,4294967296)</f>
        <v>0</v>
      </c>
    </row>
    <row r="648" spans="2:3">
      <c r="B648">
        <f>_xlfn.UNICODE(MID($B$640,8,1))</f>
        <v>0</v>
      </c>
      <c r="C648">
        <f>MOD(MOD(_xlfn.BITXOR(C647,B648),256)*16777216+_xlfn.BITXOR(C647,B648)*403,4294967296)</f>
        <v>0</v>
      </c>
    </row>
    <row r="649" spans="2:3">
      <c r="B649">
        <f>_xlfn.UNICODE(MID($B$640,9,1))</f>
        <v>0</v>
      </c>
      <c r="C649">
        <f>MOD(MOD(_xlfn.BITXOR(C648,B649),256)*16777216+_xlfn.BITXOR(C648,B649)*403,4294967296)</f>
        <v>0</v>
      </c>
    </row>
    <row r="650" spans="2:3">
      <c r="B650">
        <f>_xlfn.UNICODE(MID($B$640,10,1))</f>
        <v>0</v>
      </c>
      <c r="C650">
        <f>MOD(MOD(_xlfn.BITXOR(C649,B650),256)*16777216+_xlfn.BITXOR(C649,B650)*403,4294967296)</f>
        <v>0</v>
      </c>
    </row>
    <row r="651" spans="2:3">
      <c r="B651">
        <f>_xlfn.UNICODE(MID($B$640,11,1))</f>
        <v>0</v>
      </c>
      <c r="C651">
        <f>MOD(MOD(_xlfn.BITXOR(C650,B651),256)*16777216+_xlfn.BITXOR(C650,B651)*403,4294967296)</f>
        <v>0</v>
      </c>
    </row>
    <row r="652" spans="2:3">
      <c r="B652">
        <f>_xlfn.UNICODE(MID($B$640,12,1))</f>
        <v>0</v>
      </c>
      <c r="C652">
        <f>MOD(MOD(_xlfn.BITXOR(C651,B652),256)*16777216+_xlfn.BITXOR(C651,B652)*403,4294967296)</f>
        <v>0</v>
      </c>
    </row>
    <row r="653" spans="2:3">
      <c r="B653">
        <f>_xlfn.UNICODE(MID($B$640,13,1))</f>
        <v>0</v>
      </c>
      <c r="C653">
        <f>MOD(MOD(_xlfn.BITXOR(C652,B653),256)*16777216+_xlfn.BITXOR(C652,B653)*403,4294967296)</f>
        <v>0</v>
      </c>
    </row>
    <row r="654" spans="2:3">
      <c r="B654">
        <f>_xlfn.UNICODE(MID($B$640,14,1))</f>
        <v>0</v>
      </c>
      <c r="C654">
        <f>MOD(MOD(_xlfn.BITXOR(C653,B654),256)*16777216+_xlfn.BITXOR(C653,B654)*403,4294967296)</f>
        <v>0</v>
      </c>
    </row>
    <row r="655" spans="2:3">
      <c r="B655">
        <f>_xlfn.UNICODE(MID($B$640,15,1))</f>
        <v>0</v>
      </c>
      <c r="C655">
        <f>MOD(MOD(_xlfn.BITXOR(C654,B655),256)*16777216+_xlfn.BITXOR(C654,B655)*403,4294967296)</f>
        <v>0</v>
      </c>
    </row>
    <row r="656" spans="2:3">
      <c r="B656">
        <f>_xlfn.UNICODE(MID($B$640,16,1))</f>
        <v>0</v>
      </c>
      <c r="C656">
        <f>MOD(MOD(_xlfn.BITXOR(C655,B656),256)*16777216+_xlfn.BITXOR(C655,B656)*403,4294967296)</f>
        <v>0</v>
      </c>
    </row>
    <row r="657" spans="1:3">
      <c r="B657">
        <f>_xlfn.UNICODE(MID($B$640,17,1))</f>
        <v>0</v>
      </c>
      <c r="C657">
        <f>MOD(MOD(_xlfn.BITXOR(C656,B657),256)*16777216+_xlfn.BITXOR(C656,B657)*403,4294967296)</f>
        <v>0</v>
      </c>
    </row>
    <row r="658" spans="1:3">
      <c r="B658">
        <f>_xlfn.UNICODE(MID($B$640,18,1))</f>
        <v>0</v>
      </c>
      <c r="C658">
        <f>MOD(MOD(_xlfn.BITXOR(C657,B658),256)*16777216+_xlfn.BITXOR(C657,B658)*403,4294967296)</f>
        <v>0</v>
      </c>
    </row>
    <row r="659" spans="1:3">
      <c r="B659">
        <f>_xlfn.UNICODE(MID($B$640,19,1))</f>
        <v>0</v>
      </c>
      <c r="C659">
        <f>MOD(MOD(_xlfn.BITXOR(C658,B659),256)*16777216+_xlfn.BITXOR(C658,B659)*403,4294967296)</f>
        <v>0</v>
      </c>
    </row>
    <row r="660" spans="1:3">
      <c r="B660">
        <f>_xlfn.UNICODE(MID($B$640,20,1))</f>
        <v>0</v>
      </c>
      <c r="C660">
        <f>MOD(MOD(_xlfn.BITXOR(C659,B660),256)*16777216+_xlfn.BITXOR(C659,B660)*403,4294967296)</f>
        <v>0</v>
      </c>
    </row>
    <row r="661" spans="1:3">
      <c r="B661">
        <f>_xlfn.UNICODE(MID($B$640,21,1))</f>
        <v>0</v>
      </c>
      <c r="C661">
        <f>MOD(MOD(_xlfn.BITXOR(C660,B661),256)*16777216+_xlfn.BITXOR(C660,B661)*403,4294967296)</f>
        <v>0</v>
      </c>
    </row>
    <row r="662" spans="1:3">
      <c r="B662">
        <f>_xlfn.UNICODE(MID($B$640,22,1))</f>
        <v>0</v>
      </c>
      <c r="C662">
        <f>MOD(MOD(_xlfn.BITXOR(C661,B662),256)*16777216+_xlfn.BITXOR(C661,B662)*403,4294967296)</f>
        <v>0</v>
      </c>
    </row>
    <row r="663" spans="1:3">
      <c r="B663">
        <f>_xlfn.UNICODE(MID($B$640,23,1))</f>
        <v>0</v>
      </c>
      <c r="C663">
        <f>MOD(MOD(_xlfn.BITXOR(C662,B663),256)*16777216+_xlfn.BITXOR(C662,B663)*403,4294967296)</f>
        <v>0</v>
      </c>
    </row>
    <row r="664" spans="1:3">
      <c r="B664">
        <f>_xlfn.UNICODE(MID($B$640,24,1))</f>
        <v>0</v>
      </c>
      <c r="C664">
        <f>MOD(MOD(_xlfn.BITXOR(C663,B664),256)*16777216+_xlfn.BITXOR(C663,B664)*403,4294967296)</f>
        <v>0</v>
      </c>
    </row>
    <row r="665" spans="1:3">
      <c r="B665">
        <f>_xlfn.UNICODE(MID($B$640,25,1))</f>
        <v>0</v>
      </c>
      <c r="C665">
        <f>MOD(MOD(_xlfn.BITXOR(C664,B665),256)*16777216+_xlfn.BITXOR(C664,B665)*403,4294967296)</f>
        <v>0</v>
      </c>
    </row>
    <row r="666" spans="1:3">
      <c r="B666">
        <f>_xlfn.UNICODE(MID($B$640,26,1))</f>
        <v>0</v>
      </c>
      <c r="C666">
        <f>MOD(MOD(_xlfn.BITXOR(C665,B666),256)*16777216+_xlfn.BITXOR(C665,B666)*403,4294967296)</f>
        <v>0</v>
      </c>
    </row>
    <row r="667" spans="1:3">
      <c r="B667">
        <f>_xlfn.UNICODE(MID($B$640,27,1))</f>
        <v>0</v>
      </c>
      <c r="C667">
        <f>MOD(MOD(_xlfn.BITXOR(C666,B667),256)*16777216+_xlfn.BITXOR(C666,B667)*403,4294967296)</f>
        <v>0</v>
      </c>
    </row>
    <row r="668" spans="1:3">
      <c r="B668">
        <f>_xlfn.UNICODE(MID($B$640,28,1))</f>
        <v>0</v>
      </c>
      <c r="C668">
        <f>MOD(MOD(_xlfn.BITXOR(C667,B668),256)*16777216+_xlfn.BITXOR(C667,B668)*403,4294967296)</f>
        <v>0</v>
      </c>
    </row>
    <row r="669" spans="1:3">
      <c r="B669">
        <f>_xlfn.UNICODE(MID($B$640,29,1))</f>
        <v>0</v>
      </c>
      <c r="C669">
        <f>MOD(MOD(_xlfn.BITXOR(C668,B669),256)*16777216+_xlfn.BITXOR(C668,B669)*403,4294967296)</f>
        <v>0</v>
      </c>
    </row>
    <row r="670" spans="1:3">
      <c r="A670" t="s">
        <v>129</v>
      </c>
      <c r="B670">
        <f>"rty"&amp;Calcul!$B$82&amp;2</f>
        <v>0</v>
      </c>
    </row>
    <row r="671" spans="1:3">
      <c r="B671">
        <f>_xlfn.UNICODE(MID($B$670,1,1))</f>
        <v>0</v>
      </c>
      <c r="C671">
        <f>MOD(MOD(_xlfn.BITXOR(C669,B671),256)*16777216+_xlfn.BITXOR(C669,B671)*403,4294967296)</f>
        <v>0</v>
      </c>
    </row>
    <row r="672" spans="1:3">
      <c r="B672">
        <f>_xlfn.UNICODE(MID($B$670,2,1))</f>
        <v>0</v>
      </c>
      <c r="C672">
        <f>MOD(MOD(_xlfn.BITXOR(C671,B672),256)*16777216+_xlfn.BITXOR(C671,B672)*403,4294967296)</f>
        <v>0</v>
      </c>
    </row>
    <row r="673" spans="2:3">
      <c r="B673">
        <f>_xlfn.UNICODE(MID($B$670,3,1))</f>
        <v>0</v>
      </c>
      <c r="C673">
        <f>MOD(MOD(_xlfn.BITXOR(C672,B673),256)*16777216+_xlfn.BITXOR(C672,B673)*403,4294967296)</f>
        <v>0</v>
      </c>
    </row>
    <row r="674" spans="2:3">
      <c r="B674">
        <f>_xlfn.UNICODE(MID($B$670,4,1))</f>
        <v>0</v>
      </c>
      <c r="C674">
        <f>MOD(MOD(_xlfn.BITXOR(C673,B674),256)*16777216+_xlfn.BITXOR(C673,B674)*403,4294967296)</f>
        <v>0</v>
      </c>
    </row>
    <row r="675" spans="2:3">
      <c r="B675">
        <f>_xlfn.UNICODE(MID($B$670,5,1))</f>
        <v>0</v>
      </c>
      <c r="C675">
        <f>MOD(MOD(_xlfn.BITXOR(C674,B675),256)*16777216+_xlfn.BITXOR(C674,B675)*403,4294967296)</f>
        <v>0</v>
      </c>
    </row>
    <row r="676" spans="2:3">
      <c r="B676">
        <f>_xlfn.UNICODE(MID($B$670,6,1))</f>
        <v>0</v>
      </c>
      <c r="C676">
        <f>MOD(MOD(_xlfn.BITXOR(C675,B676),256)*16777216+_xlfn.BITXOR(C675,B676)*403,4294967296)</f>
        <v>0</v>
      </c>
    </row>
    <row r="677" spans="2:3">
      <c r="B677">
        <f>_xlfn.UNICODE(MID($B$670,7,1))</f>
        <v>0</v>
      </c>
      <c r="C677">
        <f>MOD(MOD(_xlfn.BITXOR(C676,B677),256)*16777216+_xlfn.BITXOR(C676,B677)*403,4294967296)</f>
        <v>0</v>
      </c>
    </row>
    <row r="678" spans="2:3">
      <c r="B678">
        <f>_xlfn.UNICODE(MID($B$670,8,1))</f>
        <v>0</v>
      </c>
      <c r="C678">
        <f>MOD(MOD(_xlfn.BITXOR(C677,B678),256)*16777216+_xlfn.BITXOR(C677,B678)*403,4294967296)</f>
        <v>0</v>
      </c>
    </row>
    <row r="679" spans="2:3">
      <c r="B679">
        <f>_xlfn.UNICODE(MID($B$670,9,1))</f>
        <v>0</v>
      </c>
      <c r="C679">
        <f>MOD(MOD(_xlfn.BITXOR(C678,B679),256)*16777216+_xlfn.BITXOR(C678,B679)*403,4294967296)</f>
        <v>0</v>
      </c>
    </row>
    <row r="680" spans="2:3">
      <c r="B680">
        <f>_xlfn.UNICODE(MID($B$670,10,1))</f>
        <v>0</v>
      </c>
      <c r="C680">
        <f>MOD(MOD(_xlfn.BITXOR(C679,B680),256)*16777216+_xlfn.BITXOR(C679,B680)*403,4294967296)</f>
        <v>0</v>
      </c>
    </row>
    <row r="681" spans="2:3">
      <c r="B681">
        <f>_xlfn.UNICODE(MID($B$670,11,1))</f>
        <v>0</v>
      </c>
      <c r="C681">
        <f>MOD(MOD(_xlfn.BITXOR(C680,B681),256)*16777216+_xlfn.BITXOR(C680,B681)*403,4294967296)</f>
        <v>0</v>
      </c>
    </row>
    <row r="682" spans="2:3">
      <c r="B682">
        <f>_xlfn.UNICODE(MID($B$670,12,1))</f>
        <v>0</v>
      </c>
      <c r="C682">
        <f>MOD(MOD(_xlfn.BITXOR(C681,B682),256)*16777216+_xlfn.BITXOR(C681,B682)*403,4294967296)</f>
        <v>0</v>
      </c>
    </row>
    <row r="683" spans="2:3">
      <c r="B683">
        <f>_xlfn.UNICODE(MID($B$670,13,1))</f>
        <v>0</v>
      </c>
      <c r="C683">
        <f>MOD(MOD(_xlfn.BITXOR(C682,B683),256)*16777216+_xlfn.BITXOR(C682,B683)*403,4294967296)</f>
        <v>0</v>
      </c>
    </row>
    <row r="684" spans="2:3">
      <c r="B684">
        <f>_xlfn.UNICODE(MID($B$670,14,1))</f>
        <v>0</v>
      </c>
      <c r="C684">
        <f>MOD(MOD(_xlfn.BITXOR(C683,B684),256)*16777216+_xlfn.BITXOR(C683,B684)*403,4294967296)</f>
        <v>0</v>
      </c>
    </row>
    <row r="685" spans="2:3">
      <c r="B685">
        <f>_xlfn.UNICODE(MID($B$670,15,1))</f>
        <v>0</v>
      </c>
      <c r="C685">
        <f>MOD(MOD(_xlfn.BITXOR(C684,B685),256)*16777216+_xlfn.BITXOR(C684,B685)*403,4294967296)</f>
        <v>0</v>
      </c>
    </row>
    <row r="686" spans="2:3">
      <c r="B686">
        <f>_xlfn.UNICODE(MID($B$670,16,1))</f>
        <v>0</v>
      </c>
      <c r="C686">
        <f>MOD(MOD(_xlfn.BITXOR(C685,B686),256)*16777216+_xlfn.BITXOR(C685,B686)*403,4294967296)</f>
        <v>0</v>
      </c>
    </row>
    <row r="687" spans="2:3">
      <c r="B687">
        <f>_xlfn.UNICODE(MID($B$670,17,1))</f>
        <v>0</v>
      </c>
      <c r="C687">
        <f>MOD(MOD(_xlfn.BITXOR(C686,B687),256)*16777216+_xlfn.BITXOR(C686,B687)*403,4294967296)</f>
        <v>0</v>
      </c>
    </row>
    <row r="688" spans="2:3">
      <c r="B688">
        <f>_xlfn.UNICODE(MID($B$670,18,1))</f>
        <v>0</v>
      </c>
      <c r="C688">
        <f>MOD(MOD(_xlfn.BITXOR(C687,B688),256)*16777216+_xlfn.BITXOR(C687,B688)*403,4294967296)</f>
        <v>0</v>
      </c>
    </row>
    <row r="689" spans="1:3">
      <c r="B689">
        <f>_xlfn.UNICODE(MID($B$670,19,1))</f>
        <v>0</v>
      </c>
      <c r="C689">
        <f>MOD(MOD(_xlfn.BITXOR(C688,B689),256)*16777216+_xlfn.BITXOR(C688,B689)*403,4294967296)</f>
        <v>0</v>
      </c>
    </row>
    <row r="690" spans="1:3">
      <c r="B690">
        <f>_xlfn.UNICODE(MID($B$670,20,1))</f>
        <v>0</v>
      </c>
      <c r="C690">
        <f>MOD(MOD(_xlfn.BITXOR(C689,B690),256)*16777216+_xlfn.BITXOR(C689,B690)*403,4294967296)</f>
        <v>0</v>
      </c>
    </row>
    <row r="691" spans="1:3">
      <c r="B691">
        <f>_xlfn.UNICODE(MID($B$670,21,1))</f>
        <v>0</v>
      </c>
      <c r="C691">
        <f>MOD(MOD(_xlfn.BITXOR(C690,B691),256)*16777216+_xlfn.BITXOR(C690,B691)*403,4294967296)</f>
        <v>0</v>
      </c>
    </row>
    <row r="692" spans="1:3">
      <c r="B692">
        <f>_xlfn.UNICODE(MID($B$670,22,1))</f>
        <v>0</v>
      </c>
      <c r="C692">
        <f>MOD(MOD(_xlfn.BITXOR(C691,B692),256)*16777216+_xlfn.BITXOR(C691,B692)*403,4294967296)</f>
        <v>0</v>
      </c>
    </row>
    <row r="693" spans="1:3">
      <c r="B693">
        <f>_xlfn.UNICODE(MID($B$670,23,1))</f>
        <v>0</v>
      </c>
      <c r="C693">
        <f>MOD(MOD(_xlfn.BITXOR(C692,B693),256)*16777216+_xlfn.BITXOR(C692,B693)*403,4294967296)</f>
        <v>0</v>
      </c>
    </row>
    <row r="694" spans="1:3">
      <c r="B694">
        <f>_xlfn.UNICODE(MID($B$670,24,1))</f>
        <v>0</v>
      </c>
      <c r="C694">
        <f>MOD(MOD(_xlfn.BITXOR(C693,B694),256)*16777216+_xlfn.BITXOR(C693,B694)*403,4294967296)</f>
        <v>0</v>
      </c>
    </row>
    <row r="695" spans="1:3">
      <c r="B695">
        <f>_xlfn.UNICODE(MID($B$670,25,1))</f>
        <v>0</v>
      </c>
      <c r="C695">
        <f>MOD(MOD(_xlfn.BITXOR(C694,B695),256)*16777216+_xlfn.BITXOR(C694,B695)*403,4294967296)</f>
        <v>0</v>
      </c>
    </row>
    <row r="696" spans="1:3">
      <c r="B696">
        <f>_xlfn.UNICODE(MID($B$670,26,1))</f>
        <v>0</v>
      </c>
      <c r="C696">
        <f>MOD(MOD(_xlfn.BITXOR(C695,B696),256)*16777216+_xlfn.BITXOR(C695,B696)*403,4294967296)</f>
        <v>0</v>
      </c>
    </row>
    <row r="697" spans="1:3">
      <c r="B697">
        <f>_xlfn.UNICODE(MID($B$670,27,1))</f>
        <v>0</v>
      </c>
      <c r="C697">
        <f>MOD(MOD(_xlfn.BITXOR(C696,B697),256)*16777216+_xlfn.BITXOR(C696,B697)*403,4294967296)</f>
        <v>0</v>
      </c>
    </row>
    <row r="698" spans="1:3">
      <c r="B698">
        <f>_xlfn.UNICODE(MID($B$670,28,1))</f>
        <v>0</v>
      </c>
      <c r="C698">
        <f>MOD(MOD(_xlfn.BITXOR(C697,B698),256)*16777216+_xlfn.BITXOR(C697,B698)*403,4294967296)</f>
        <v>0</v>
      </c>
    </row>
    <row r="699" spans="1:3">
      <c r="B699">
        <f>_xlfn.UNICODE(MID($B$670,29,1))</f>
        <v>0</v>
      </c>
      <c r="C699">
        <f>MOD(MOD(_xlfn.BITXOR(C698,B699),256)*16777216+_xlfn.BITXOR(C698,B699)*403,4294967296)</f>
        <v>0</v>
      </c>
    </row>
    <row r="700" spans="1:3">
      <c r="A700" t="s">
        <v>130</v>
      </c>
      <c r="B700">
        <f>"rty"&amp;Calcul!$B$82&amp;4</f>
        <v>0</v>
      </c>
    </row>
    <row r="701" spans="1:3">
      <c r="B701">
        <f>_xlfn.UNICODE(MID($B$700,1,1))</f>
        <v>0</v>
      </c>
      <c r="C701">
        <f>MOD(MOD(_xlfn.BITXOR(C699,B701),256)*16777216+_xlfn.BITXOR(C699,B701)*403,4294967296)</f>
        <v>0</v>
      </c>
    </row>
    <row r="702" spans="1:3">
      <c r="B702">
        <f>_xlfn.UNICODE(MID($B$700,2,1))</f>
        <v>0</v>
      </c>
      <c r="C702">
        <f>MOD(MOD(_xlfn.BITXOR(C701,B702),256)*16777216+_xlfn.BITXOR(C701,B702)*403,4294967296)</f>
        <v>0</v>
      </c>
    </row>
    <row r="703" spans="1:3">
      <c r="B703">
        <f>_xlfn.UNICODE(MID($B$700,3,1))</f>
        <v>0</v>
      </c>
      <c r="C703">
        <f>MOD(MOD(_xlfn.BITXOR(C702,B703),256)*16777216+_xlfn.BITXOR(C702,B703)*403,4294967296)</f>
        <v>0</v>
      </c>
    </row>
    <row r="704" spans="1:3">
      <c r="B704">
        <f>_xlfn.UNICODE(MID($B$700,4,1))</f>
        <v>0</v>
      </c>
      <c r="C704">
        <f>MOD(MOD(_xlfn.BITXOR(C703,B704),256)*16777216+_xlfn.BITXOR(C703,B704)*403,4294967296)</f>
        <v>0</v>
      </c>
    </row>
    <row r="705" spans="2:3">
      <c r="B705">
        <f>_xlfn.UNICODE(MID($B$700,5,1))</f>
        <v>0</v>
      </c>
      <c r="C705">
        <f>MOD(MOD(_xlfn.BITXOR(C704,B705),256)*16777216+_xlfn.BITXOR(C704,B705)*403,4294967296)</f>
        <v>0</v>
      </c>
    </row>
    <row r="706" spans="2:3">
      <c r="B706">
        <f>_xlfn.UNICODE(MID($B$700,6,1))</f>
        <v>0</v>
      </c>
      <c r="C706">
        <f>MOD(MOD(_xlfn.BITXOR(C705,B706),256)*16777216+_xlfn.BITXOR(C705,B706)*403,4294967296)</f>
        <v>0</v>
      </c>
    </row>
    <row r="707" spans="2:3">
      <c r="B707">
        <f>_xlfn.UNICODE(MID($B$700,7,1))</f>
        <v>0</v>
      </c>
      <c r="C707">
        <f>MOD(MOD(_xlfn.BITXOR(C706,B707),256)*16777216+_xlfn.BITXOR(C706,B707)*403,4294967296)</f>
        <v>0</v>
      </c>
    </row>
    <row r="708" spans="2:3">
      <c r="B708">
        <f>_xlfn.UNICODE(MID($B$700,8,1))</f>
        <v>0</v>
      </c>
      <c r="C708">
        <f>MOD(MOD(_xlfn.BITXOR(C707,B708),256)*16777216+_xlfn.BITXOR(C707,B708)*403,4294967296)</f>
        <v>0</v>
      </c>
    </row>
    <row r="709" spans="2:3">
      <c r="B709">
        <f>_xlfn.UNICODE(MID($B$700,9,1))</f>
        <v>0</v>
      </c>
      <c r="C709">
        <f>MOD(MOD(_xlfn.BITXOR(C708,B709),256)*16777216+_xlfn.BITXOR(C708,B709)*403,4294967296)</f>
        <v>0</v>
      </c>
    </row>
    <row r="710" spans="2:3">
      <c r="B710">
        <f>_xlfn.UNICODE(MID($B$700,10,1))</f>
        <v>0</v>
      </c>
      <c r="C710">
        <f>MOD(MOD(_xlfn.BITXOR(C709,B710),256)*16777216+_xlfn.BITXOR(C709,B710)*403,4294967296)</f>
        <v>0</v>
      </c>
    </row>
    <row r="711" spans="2:3">
      <c r="B711">
        <f>_xlfn.UNICODE(MID($B$700,11,1))</f>
        <v>0</v>
      </c>
      <c r="C711">
        <f>MOD(MOD(_xlfn.BITXOR(C710,B711),256)*16777216+_xlfn.BITXOR(C710,B711)*403,4294967296)</f>
        <v>0</v>
      </c>
    </row>
    <row r="712" spans="2:3">
      <c r="B712">
        <f>_xlfn.UNICODE(MID($B$700,12,1))</f>
        <v>0</v>
      </c>
      <c r="C712">
        <f>MOD(MOD(_xlfn.BITXOR(C711,B712),256)*16777216+_xlfn.BITXOR(C711,B712)*403,4294967296)</f>
        <v>0</v>
      </c>
    </row>
    <row r="713" spans="2:3">
      <c r="B713">
        <f>_xlfn.UNICODE(MID($B$700,13,1))</f>
        <v>0</v>
      </c>
      <c r="C713">
        <f>MOD(MOD(_xlfn.BITXOR(C712,B713),256)*16777216+_xlfn.BITXOR(C712,B713)*403,4294967296)</f>
        <v>0</v>
      </c>
    </row>
    <row r="714" spans="2:3">
      <c r="B714">
        <f>_xlfn.UNICODE(MID($B$700,14,1))</f>
        <v>0</v>
      </c>
      <c r="C714">
        <f>MOD(MOD(_xlfn.BITXOR(C713,B714),256)*16777216+_xlfn.BITXOR(C713,B714)*403,4294967296)</f>
        <v>0</v>
      </c>
    </row>
    <row r="715" spans="2:3">
      <c r="B715">
        <f>_xlfn.UNICODE(MID($B$700,15,1))</f>
        <v>0</v>
      </c>
      <c r="C715">
        <f>MOD(MOD(_xlfn.BITXOR(C714,B715),256)*16777216+_xlfn.BITXOR(C714,B715)*403,4294967296)</f>
        <v>0</v>
      </c>
    </row>
    <row r="716" spans="2:3">
      <c r="B716">
        <f>_xlfn.UNICODE(MID($B$700,16,1))</f>
        <v>0</v>
      </c>
      <c r="C716">
        <f>MOD(MOD(_xlfn.BITXOR(C715,B716),256)*16777216+_xlfn.BITXOR(C715,B716)*403,4294967296)</f>
        <v>0</v>
      </c>
    </row>
    <row r="717" spans="2:3">
      <c r="B717">
        <f>_xlfn.UNICODE(MID($B$700,17,1))</f>
        <v>0</v>
      </c>
      <c r="C717">
        <f>MOD(MOD(_xlfn.BITXOR(C716,B717),256)*16777216+_xlfn.BITXOR(C716,B717)*403,4294967296)</f>
        <v>0</v>
      </c>
    </row>
    <row r="718" spans="2:3">
      <c r="B718">
        <f>_xlfn.UNICODE(MID($B$700,18,1))</f>
        <v>0</v>
      </c>
      <c r="C718">
        <f>MOD(MOD(_xlfn.BITXOR(C717,B718),256)*16777216+_xlfn.BITXOR(C717,B718)*403,4294967296)</f>
        <v>0</v>
      </c>
    </row>
    <row r="719" spans="2:3">
      <c r="B719">
        <f>_xlfn.UNICODE(MID($B$700,19,1))</f>
        <v>0</v>
      </c>
      <c r="C719">
        <f>MOD(MOD(_xlfn.BITXOR(C718,B719),256)*16777216+_xlfn.BITXOR(C718,B719)*403,4294967296)</f>
        <v>0</v>
      </c>
    </row>
    <row r="720" spans="2:3">
      <c r="B720">
        <f>_xlfn.UNICODE(MID($B$700,20,1))</f>
        <v>0</v>
      </c>
      <c r="C720">
        <f>MOD(MOD(_xlfn.BITXOR(C719,B720),256)*16777216+_xlfn.BITXOR(C719,B720)*403,4294967296)</f>
        <v>0</v>
      </c>
    </row>
    <row r="721" spans="1:3">
      <c r="B721">
        <f>_xlfn.UNICODE(MID($B$700,21,1))</f>
        <v>0</v>
      </c>
      <c r="C721">
        <f>MOD(MOD(_xlfn.BITXOR(C720,B721),256)*16777216+_xlfn.BITXOR(C720,B721)*403,4294967296)</f>
        <v>0</v>
      </c>
    </row>
    <row r="722" spans="1:3">
      <c r="B722">
        <f>_xlfn.UNICODE(MID($B$700,22,1))</f>
        <v>0</v>
      </c>
      <c r="C722">
        <f>MOD(MOD(_xlfn.BITXOR(C721,B722),256)*16777216+_xlfn.BITXOR(C721,B722)*403,4294967296)</f>
        <v>0</v>
      </c>
    </row>
    <row r="723" spans="1:3">
      <c r="B723">
        <f>_xlfn.UNICODE(MID($B$700,23,1))</f>
        <v>0</v>
      </c>
      <c r="C723">
        <f>MOD(MOD(_xlfn.BITXOR(C722,B723),256)*16777216+_xlfn.BITXOR(C722,B723)*403,4294967296)</f>
        <v>0</v>
      </c>
    </row>
    <row r="724" spans="1:3">
      <c r="B724">
        <f>_xlfn.UNICODE(MID($B$700,24,1))</f>
        <v>0</v>
      </c>
      <c r="C724">
        <f>MOD(MOD(_xlfn.BITXOR(C723,B724),256)*16777216+_xlfn.BITXOR(C723,B724)*403,4294967296)</f>
        <v>0</v>
      </c>
    </row>
    <row r="725" spans="1:3">
      <c r="B725">
        <f>_xlfn.UNICODE(MID($B$700,25,1))</f>
        <v>0</v>
      </c>
      <c r="C725">
        <f>MOD(MOD(_xlfn.BITXOR(C724,B725),256)*16777216+_xlfn.BITXOR(C724,B725)*403,4294967296)</f>
        <v>0</v>
      </c>
    </row>
    <row r="726" spans="1:3">
      <c r="B726">
        <f>_xlfn.UNICODE(MID($B$700,26,1))</f>
        <v>0</v>
      </c>
      <c r="C726">
        <f>MOD(MOD(_xlfn.BITXOR(C725,B726),256)*16777216+_xlfn.BITXOR(C725,B726)*403,4294967296)</f>
        <v>0</v>
      </c>
    </row>
    <row r="727" spans="1:3">
      <c r="B727">
        <f>_xlfn.UNICODE(MID($B$700,27,1))</f>
        <v>0</v>
      </c>
      <c r="C727">
        <f>MOD(MOD(_xlfn.BITXOR(C726,B727),256)*16777216+_xlfn.BITXOR(C726,B727)*403,4294967296)</f>
        <v>0</v>
      </c>
    </row>
    <row r="728" spans="1:3">
      <c r="B728">
        <f>_xlfn.UNICODE(MID($B$700,28,1))</f>
        <v>0</v>
      </c>
      <c r="C728">
        <f>MOD(MOD(_xlfn.BITXOR(C727,B728),256)*16777216+_xlfn.BITXOR(C727,B728)*403,4294967296)</f>
        <v>0</v>
      </c>
    </row>
    <row r="729" spans="1:3">
      <c r="B729">
        <f>_xlfn.UNICODE(MID($B$700,29,1))</f>
        <v>0</v>
      </c>
      <c r="C729">
        <f>MOD(MOD(_xlfn.BITXOR(C728,B729),256)*16777216+_xlfn.BITXOR(C728,B729)*403,4294967296)</f>
        <v>0</v>
      </c>
    </row>
    <row r="730" spans="1:3">
      <c r="A730" t="s">
        <v>131</v>
      </c>
      <c r="B730">
        <f>"rty"&amp;Calcul!$B$82&amp;6</f>
        <v>0</v>
      </c>
    </row>
    <row r="731" spans="1:3">
      <c r="B731">
        <f>_xlfn.UNICODE(MID($B$730,1,1))</f>
        <v>0</v>
      </c>
      <c r="C731">
        <f>MOD(MOD(_xlfn.BITXOR(C729,B731),256)*16777216+_xlfn.BITXOR(C729,B731)*403,4294967296)</f>
        <v>0</v>
      </c>
    </row>
    <row r="732" spans="1:3">
      <c r="B732">
        <f>_xlfn.UNICODE(MID($B$730,2,1))</f>
        <v>0</v>
      </c>
      <c r="C732">
        <f>MOD(MOD(_xlfn.BITXOR(C731,B732),256)*16777216+_xlfn.BITXOR(C731,B732)*403,4294967296)</f>
        <v>0</v>
      </c>
    </row>
    <row r="733" spans="1:3">
      <c r="B733">
        <f>_xlfn.UNICODE(MID($B$730,3,1))</f>
        <v>0</v>
      </c>
      <c r="C733">
        <f>MOD(MOD(_xlfn.BITXOR(C732,B733),256)*16777216+_xlfn.BITXOR(C732,B733)*403,4294967296)</f>
        <v>0</v>
      </c>
    </row>
    <row r="734" spans="1:3">
      <c r="B734">
        <f>_xlfn.UNICODE(MID($B$730,4,1))</f>
        <v>0</v>
      </c>
      <c r="C734">
        <f>MOD(MOD(_xlfn.BITXOR(C733,B734),256)*16777216+_xlfn.BITXOR(C733,B734)*403,4294967296)</f>
        <v>0</v>
      </c>
    </row>
    <row r="735" spans="1:3">
      <c r="B735">
        <f>_xlfn.UNICODE(MID($B$730,5,1))</f>
        <v>0</v>
      </c>
      <c r="C735">
        <f>MOD(MOD(_xlfn.BITXOR(C734,B735),256)*16777216+_xlfn.BITXOR(C734,B735)*403,4294967296)</f>
        <v>0</v>
      </c>
    </row>
    <row r="736" spans="1:3">
      <c r="B736">
        <f>_xlfn.UNICODE(MID($B$730,6,1))</f>
        <v>0</v>
      </c>
      <c r="C736">
        <f>MOD(MOD(_xlfn.BITXOR(C735,B736),256)*16777216+_xlfn.BITXOR(C735,B736)*403,4294967296)</f>
        <v>0</v>
      </c>
    </row>
    <row r="737" spans="2:3">
      <c r="B737">
        <f>_xlfn.UNICODE(MID($B$730,7,1))</f>
        <v>0</v>
      </c>
      <c r="C737">
        <f>MOD(MOD(_xlfn.BITXOR(C736,B737),256)*16777216+_xlfn.BITXOR(C736,B737)*403,4294967296)</f>
        <v>0</v>
      </c>
    </row>
    <row r="738" spans="2:3">
      <c r="B738">
        <f>_xlfn.UNICODE(MID($B$730,8,1))</f>
        <v>0</v>
      </c>
      <c r="C738">
        <f>MOD(MOD(_xlfn.BITXOR(C737,B738),256)*16777216+_xlfn.BITXOR(C737,B738)*403,4294967296)</f>
        <v>0</v>
      </c>
    </row>
    <row r="739" spans="2:3">
      <c r="B739">
        <f>_xlfn.UNICODE(MID($B$730,9,1))</f>
        <v>0</v>
      </c>
      <c r="C739">
        <f>MOD(MOD(_xlfn.BITXOR(C738,B739),256)*16777216+_xlfn.BITXOR(C738,B739)*403,4294967296)</f>
        <v>0</v>
      </c>
    </row>
    <row r="740" spans="2:3">
      <c r="B740">
        <f>_xlfn.UNICODE(MID($B$730,10,1))</f>
        <v>0</v>
      </c>
      <c r="C740">
        <f>MOD(MOD(_xlfn.BITXOR(C739,B740),256)*16777216+_xlfn.BITXOR(C739,B740)*403,4294967296)</f>
        <v>0</v>
      </c>
    </row>
    <row r="741" spans="2:3">
      <c r="B741">
        <f>_xlfn.UNICODE(MID($B$730,11,1))</f>
        <v>0</v>
      </c>
      <c r="C741">
        <f>MOD(MOD(_xlfn.BITXOR(C740,B741),256)*16777216+_xlfn.BITXOR(C740,B741)*403,4294967296)</f>
        <v>0</v>
      </c>
    </row>
    <row r="742" spans="2:3">
      <c r="B742">
        <f>_xlfn.UNICODE(MID($B$730,12,1))</f>
        <v>0</v>
      </c>
      <c r="C742">
        <f>MOD(MOD(_xlfn.BITXOR(C741,B742),256)*16777216+_xlfn.BITXOR(C741,B742)*403,4294967296)</f>
        <v>0</v>
      </c>
    </row>
    <row r="743" spans="2:3">
      <c r="B743">
        <f>_xlfn.UNICODE(MID($B$730,13,1))</f>
        <v>0</v>
      </c>
      <c r="C743">
        <f>MOD(MOD(_xlfn.BITXOR(C742,B743),256)*16777216+_xlfn.BITXOR(C742,B743)*403,4294967296)</f>
        <v>0</v>
      </c>
    </row>
    <row r="744" spans="2:3">
      <c r="B744">
        <f>_xlfn.UNICODE(MID($B$730,14,1))</f>
        <v>0</v>
      </c>
      <c r="C744">
        <f>MOD(MOD(_xlfn.BITXOR(C743,B744),256)*16777216+_xlfn.BITXOR(C743,B744)*403,4294967296)</f>
        <v>0</v>
      </c>
    </row>
    <row r="745" spans="2:3">
      <c r="B745">
        <f>_xlfn.UNICODE(MID($B$730,15,1))</f>
        <v>0</v>
      </c>
      <c r="C745">
        <f>MOD(MOD(_xlfn.BITXOR(C744,B745),256)*16777216+_xlfn.BITXOR(C744,B745)*403,4294967296)</f>
        <v>0</v>
      </c>
    </row>
    <row r="746" spans="2:3">
      <c r="B746">
        <f>_xlfn.UNICODE(MID($B$730,16,1))</f>
        <v>0</v>
      </c>
      <c r="C746">
        <f>MOD(MOD(_xlfn.BITXOR(C745,B746),256)*16777216+_xlfn.BITXOR(C745,B746)*403,4294967296)</f>
        <v>0</v>
      </c>
    </row>
    <row r="747" spans="2:3">
      <c r="B747">
        <f>_xlfn.UNICODE(MID($B$730,17,1))</f>
        <v>0</v>
      </c>
      <c r="C747">
        <f>MOD(MOD(_xlfn.BITXOR(C746,B747),256)*16777216+_xlfn.BITXOR(C746,B747)*403,4294967296)</f>
        <v>0</v>
      </c>
    </row>
    <row r="748" spans="2:3">
      <c r="B748">
        <f>_xlfn.UNICODE(MID($B$730,18,1))</f>
        <v>0</v>
      </c>
      <c r="C748">
        <f>MOD(MOD(_xlfn.BITXOR(C747,B748),256)*16777216+_xlfn.BITXOR(C747,B748)*403,4294967296)</f>
        <v>0</v>
      </c>
    </row>
    <row r="749" spans="2:3">
      <c r="B749">
        <f>_xlfn.UNICODE(MID($B$730,19,1))</f>
        <v>0</v>
      </c>
      <c r="C749">
        <f>MOD(MOD(_xlfn.BITXOR(C748,B749),256)*16777216+_xlfn.BITXOR(C748,B749)*403,4294967296)</f>
        <v>0</v>
      </c>
    </row>
    <row r="750" spans="2:3">
      <c r="B750">
        <f>_xlfn.UNICODE(MID($B$730,20,1))</f>
        <v>0</v>
      </c>
      <c r="C750">
        <f>MOD(MOD(_xlfn.BITXOR(C749,B750),256)*16777216+_xlfn.BITXOR(C749,B750)*403,4294967296)</f>
        <v>0</v>
      </c>
    </row>
    <row r="751" spans="2:3">
      <c r="B751">
        <f>_xlfn.UNICODE(MID($B$730,21,1))</f>
        <v>0</v>
      </c>
      <c r="C751">
        <f>MOD(MOD(_xlfn.BITXOR(C750,B751),256)*16777216+_xlfn.BITXOR(C750,B751)*403,4294967296)</f>
        <v>0</v>
      </c>
    </row>
    <row r="752" spans="2:3">
      <c r="B752">
        <f>_xlfn.UNICODE(MID($B$730,22,1))</f>
        <v>0</v>
      </c>
      <c r="C752">
        <f>MOD(MOD(_xlfn.BITXOR(C751,B752),256)*16777216+_xlfn.BITXOR(C751,B752)*403,4294967296)</f>
        <v>0</v>
      </c>
    </row>
    <row r="753" spans="1:3">
      <c r="B753">
        <f>_xlfn.UNICODE(MID($B$730,23,1))</f>
        <v>0</v>
      </c>
      <c r="C753">
        <f>MOD(MOD(_xlfn.BITXOR(C752,B753),256)*16777216+_xlfn.BITXOR(C752,B753)*403,4294967296)</f>
        <v>0</v>
      </c>
    </row>
    <row r="754" spans="1:3">
      <c r="B754">
        <f>_xlfn.UNICODE(MID($B$730,24,1))</f>
        <v>0</v>
      </c>
      <c r="C754">
        <f>MOD(MOD(_xlfn.BITXOR(C753,B754),256)*16777216+_xlfn.BITXOR(C753,B754)*403,4294967296)</f>
        <v>0</v>
      </c>
    </row>
    <row r="755" spans="1:3">
      <c r="B755">
        <f>_xlfn.UNICODE(MID($B$730,25,1))</f>
        <v>0</v>
      </c>
      <c r="C755">
        <f>MOD(MOD(_xlfn.BITXOR(C754,B755),256)*16777216+_xlfn.BITXOR(C754,B755)*403,4294967296)</f>
        <v>0</v>
      </c>
    </row>
    <row r="756" spans="1:3">
      <c r="B756">
        <f>_xlfn.UNICODE(MID($B$730,26,1))</f>
        <v>0</v>
      </c>
      <c r="C756">
        <f>MOD(MOD(_xlfn.BITXOR(C755,B756),256)*16777216+_xlfn.BITXOR(C755,B756)*403,4294967296)</f>
        <v>0</v>
      </c>
    </row>
    <row r="757" spans="1:3">
      <c r="B757">
        <f>_xlfn.UNICODE(MID($B$730,27,1))</f>
        <v>0</v>
      </c>
      <c r="C757">
        <f>MOD(MOD(_xlfn.BITXOR(C756,B757),256)*16777216+_xlfn.BITXOR(C756,B757)*403,4294967296)</f>
        <v>0</v>
      </c>
    </row>
    <row r="758" spans="1:3">
      <c r="B758">
        <f>_xlfn.UNICODE(MID($B$730,28,1))</f>
        <v>0</v>
      </c>
      <c r="C758">
        <f>MOD(MOD(_xlfn.BITXOR(C757,B758),256)*16777216+_xlfn.BITXOR(C757,B758)*403,4294967296)</f>
        <v>0</v>
      </c>
    </row>
    <row r="759" spans="1:3">
      <c r="B759">
        <f>_xlfn.UNICODE(MID($B$730,29,1))</f>
        <v>0</v>
      </c>
      <c r="C759">
        <f>MOD(MOD(_xlfn.BITXOR(C758,B759),256)*16777216+_xlfn.BITXOR(C758,B759)*403,4294967296)</f>
        <v>0</v>
      </c>
    </row>
    <row r="760" spans="1:3">
      <c r="A760" t="s">
        <v>132</v>
      </c>
      <c r="B760">
        <f>"rty"&amp;Calcul!$B$82&amp;8</f>
        <v>0</v>
      </c>
    </row>
    <row r="761" spans="1:3">
      <c r="B761">
        <f>_xlfn.UNICODE(MID($B$760,1,1))</f>
        <v>0</v>
      </c>
      <c r="C761">
        <f>MOD(MOD(_xlfn.BITXOR(C759,B761),256)*16777216+_xlfn.BITXOR(C759,B761)*403,4294967296)</f>
        <v>0</v>
      </c>
    </row>
    <row r="762" spans="1:3">
      <c r="B762">
        <f>_xlfn.UNICODE(MID($B$760,2,1))</f>
        <v>0</v>
      </c>
      <c r="C762">
        <f>MOD(MOD(_xlfn.BITXOR(C761,B762),256)*16777216+_xlfn.BITXOR(C761,B762)*403,4294967296)</f>
        <v>0</v>
      </c>
    </row>
    <row r="763" spans="1:3">
      <c r="B763">
        <f>_xlfn.UNICODE(MID($B$760,3,1))</f>
        <v>0</v>
      </c>
      <c r="C763">
        <f>MOD(MOD(_xlfn.BITXOR(C762,B763),256)*16777216+_xlfn.BITXOR(C762,B763)*403,4294967296)</f>
        <v>0</v>
      </c>
    </row>
    <row r="764" spans="1:3">
      <c r="B764">
        <f>_xlfn.UNICODE(MID($B$760,4,1))</f>
        <v>0</v>
      </c>
      <c r="C764">
        <f>MOD(MOD(_xlfn.BITXOR(C763,B764),256)*16777216+_xlfn.BITXOR(C763,B764)*403,4294967296)</f>
        <v>0</v>
      </c>
    </row>
    <row r="765" spans="1:3">
      <c r="B765">
        <f>_xlfn.UNICODE(MID($B$760,5,1))</f>
        <v>0</v>
      </c>
      <c r="C765">
        <f>MOD(MOD(_xlfn.BITXOR(C764,B765),256)*16777216+_xlfn.BITXOR(C764,B765)*403,4294967296)</f>
        <v>0</v>
      </c>
    </row>
    <row r="766" spans="1:3">
      <c r="B766">
        <f>_xlfn.UNICODE(MID($B$760,6,1))</f>
        <v>0</v>
      </c>
      <c r="C766">
        <f>MOD(MOD(_xlfn.BITXOR(C765,B766),256)*16777216+_xlfn.BITXOR(C765,B766)*403,4294967296)</f>
        <v>0</v>
      </c>
    </row>
    <row r="767" spans="1:3">
      <c r="B767">
        <f>_xlfn.UNICODE(MID($B$760,7,1))</f>
        <v>0</v>
      </c>
      <c r="C767">
        <f>MOD(MOD(_xlfn.BITXOR(C766,B767),256)*16777216+_xlfn.BITXOR(C766,B767)*403,4294967296)</f>
        <v>0</v>
      </c>
    </row>
    <row r="768" spans="1:3">
      <c r="B768">
        <f>_xlfn.UNICODE(MID($B$760,8,1))</f>
        <v>0</v>
      </c>
      <c r="C768">
        <f>MOD(MOD(_xlfn.BITXOR(C767,B768),256)*16777216+_xlfn.BITXOR(C767,B768)*403,4294967296)</f>
        <v>0</v>
      </c>
    </row>
    <row r="769" spans="2:3">
      <c r="B769">
        <f>_xlfn.UNICODE(MID($B$760,9,1))</f>
        <v>0</v>
      </c>
      <c r="C769">
        <f>MOD(MOD(_xlfn.BITXOR(C768,B769),256)*16777216+_xlfn.BITXOR(C768,B769)*403,4294967296)</f>
        <v>0</v>
      </c>
    </row>
    <row r="770" spans="2:3">
      <c r="B770">
        <f>_xlfn.UNICODE(MID($B$760,10,1))</f>
        <v>0</v>
      </c>
      <c r="C770">
        <f>MOD(MOD(_xlfn.BITXOR(C769,B770),256)*16777216+_xlfn.BITXOR(C769,B770)*403,4294967296)</f>
        <v>0</v>
      </c>
    </row>
    <row r="771" spans="2:3">
      <c r="B771">
        <f>_xlfn.UNICODE(MID($B$760,11,1))</f>
        <v>0</v>
      </c>
      <c r="C771">
        <f>MOD(MOD(_xlfn.BITXOR(C770,B771),256)*16777216+_xlfn.BITXOR(C770,B771)*403,4294967296)</f>
        <v>0</v>
      </c>
    </row>
    <row r="772" spans="2:3">
      <c r="B772">
        <f>_xlfn.UNICODE(MID($B$760,12,1))</f>
        <v>0</v>
      </c>
      <c r="C772">
        <f>MOD(MOD(_xlfn.BITXOR(C771,B772),256)*16777216+_xlfn.BITXOR(C771,B772)*403,4294967296)</f>
        <v>0</v>
      </c>
    </row>
    <row r="773" spans="2:3">
      <c r="B773">
        <f>_xlfn.UNICODE(MID($B$760,13,1))</f>
        <v>0</v>
      </c>
      <c r="C773">
        <f>MOD(MOD(_xlfn.BITXOR(C772,B773),256)*16777216+_xlfn.BITXOR(C772,B773)*403,4294967296)</f>
        <v>0</v>
      </c>
    </row>
    <row r="774" spans="2:3">
      <c r="B774">
        <f>_xlfn.UNICODE(MID($B$760,14,1))</f>
        <v>0</v>
      </c>
      <c r="C774">
        <f>MOD(MOD(_xlfn.BITXOR(C773,B774),256)*16777216+_xlfn.BITXOR(C773,B774)*403,4294967296)</f>
        <v>0</v>
      </c>
    </row>
    <row r="775" spans="2:3">
      <c r="B775">
        <f>_xlfn.UNICODE(MID($B$760,15,1))</f>
        <v>0</v>
      </c>
      <c r="C775">
        <f>MOD(MOD(_xlfn.BITXOR(C774,B775),256)*16777216+_xlfn.BITXOR(C774,B775)*403,4294967296)</f>
        <v>0</v>
      </c>
    </row>
    <row r="776" spans="2:3">
      <c r="B776">
        <f>_xlfn.UNICODE(MID($B$760,16,1))</f>
        <v>0</v>
      </c>
      <c r="C776">
        <f>MOD(MOD(_xlfn.BITXOR(C775,B776),256)*16777216+_xlfn.BITXOR(C775,B776)*403,4294967296)</f>
        <v>0</v>
      </c>
    </row>
    <row r="777" spans="2:3">
      <c r="B777">
        <f>_xlfn.UNICODE(MID($B$760,17,1))</f>
        <v>0</v>
      </c>
      <c r="C777">
        <f>MOD(MOD(_xlfn.BITXOR(C776,B777),256)*16777216+_xlfn.BITXOR(C776,B777)*403,4294967296)</f>
        <v>0</v>
      </c>
    </row>
    <row r="778" spans="2:3">
      <c r="B778">
        <f>_xlfn.UNICODE(MID($B$760,18,1))</f>
        <v>0</v>
      </c>
      <c r="C778">
        <f>MOD(MOD(_xlfn.BITXOR(C777,B778),256)*16777216+_xlfn.BITXOR(C777,B778)*403,4294967296)</f>
        <v>0</v>
      </c>
    </row>
    <row r="779" spans="2:3">
      <c r="B779">
        <f>_xlfn.UNICODE(MID($B$760,19,1))</f>
        <v>0</v>
      </c>
      <c r="C779">
        <f>MOD(MOD(_xlfn.BITXOR(C778,B779),256)*16777216+_xlfn.BITXOR(C778,B779)*403,4294967296)</f>
        <v>0</v>
      </c>
    </row>
    <row r="780" spans="2:3">
      <c r="B780">
        <f>_xlfn.UNICODE(MID($B$760,20,1))</f>
        <v>0</v>
      </c>
      <c r="C780">
        <f>MOD(MOD(_xlfn.BITXOR(C779,B780),256)*16777216+_xlfn.BITXOR(C779,B780)*403,4294967296)</f>
        <v>0</v>
      </c>
    </row>
    <row r="781" spans="2:3">
      <c r="B781">
        <f>_xlfn.UNICODE(MID($B$760,21,1))</f>
        <v>0</v>
      </c>
      <c r="C781">
        <f>MOD(MOD(_xlfn.BITXOR(C780,B781),256)*16777216+_xlfn.BITXOR(C780,B781)*403,4294967296)</f>
        <v>0</v>
      </c>
    </row>
    <row r="782" spans="2:3">
      <c r="B782">
        <f>_xlfn.UNICODE(MID($B$760,22,1))</f>
        <v>0</v>
      </c>
      <c r="C782">
        <f>MOD(MOD(_xlfn.BITXOR(C781,B782),256)*16777216+_xlfn.BITXOR(C781,B782)*403,4294967296)</f>
        <v>0</v>
      </c>
    </row>
    <row r="783" spans="2:3">
      <c r="B783">
        <f>_xlfn.UNICODE(MID($B$760,23,1))</f>
        <v>0</v>
      </c>
      <c r="C783">
        <f>MOD(MOD(_xlfn.BITXOR(C782,B783),256)*16777216+_xlfn.BITXOR(C782,B783)*403,4294967296)</f>
        <v>0</v>
      </c>
    </row>
    <row r="784" spans="2:3">
      <c r="B784">
        <f>_xlfn.UNICODE(MID($B$760,24,1))</f>
        <v>0</v>
      </c>
      <c r="C784">
        <f>MOD(MOD(_xlfn.BITXOR(C783,B784),256)*16777216+_xlfn.BITXOR(C783,B784)*403,4294967296)</f>
        <v>0</v>
      </c>
    </row>
    <row r="785" spans="1:3">
      <c r="B785">
        <f>_xlfn.UNICODE(MID($B$760,25,1))</f>
        <v>0</v>
      </c>
      <c r="C785">
        <f>MOD(MOD(_xlfn.BITXOR(C784,B785),256)*16777216+_xlfn.BITXOR(C784,B785)*403,4294967296)</f>
        <v>0</v>
      </c>
    </row>
    <row r="786" spans="1:3">
      <c r="B786">
        <f>_xlfn.UNICODE(MID($B$760,26,1))</f>
        <v>0</v>
      </c>
      <c r="C786">
        <f>MOD(MOD(_xlfn.BITXOR(C785,B786),256)*16777216+_xlfn.BITXOR(C785,B786)*403,4294967296)</f>
        <v>0</v>
      </c>
    </row>
    <row r="787" spans="1:3">
      <c r="B787">
        <f>_xlfn.UNICODE(MID($B$760,27,1))</f>
        <v>0</v>
      </c>
      <c r="C787">
        <f>MOD(MOD(_xlfn.BITXOR(C786,B787),256)*16777216+_xlfn.BITXOR(C786,B787)*403,4294967296)</f>
        <v>0</v>
      </c>
    </row>
    <row r="788" spans="1:3">
      <c r="B788">
        <f>_xlfn.UNICODE(MID($B$760,28,1))</f>
        <v>0</v>
      </c>
      <c r="C788">
        <f>MOD(MOD(_xlfn.BITXOR(C787,B788),256)*16777216+_xlfn.BITXOR(C787,B788)*403,4294967296)</f>
        <v>0</v>
      </c>
    </row>
    <row r="789" spans="1:3">
      <c r="B789">
        <f>_xlfn.UNICODE(MID($B$760,29,1))</f>
        <v>0</v>
      </c>
      <c r="C789">
        <f>MOD(MOD(_xlfn.BITXOR(C788,B789),256)*16777216+_xlfn.BITXOR(C788,B789)*403,4294967296)</f>
        <v>0</v>
      </c>
    </row>
    <row r="790" spans="1:3">
      <c r="A790" t="s">
        <v>136</v>
      </c>
      <c r="B790">
        <f>LEFT(MID('Paramètres'!$D$2,MOD(C669,32)+1,1)&amp;MID('Paramètres'!$D$2,MOD(INT(C669/32),32)+1,1)&amp;MID('Paramètres'!$D$2,MOD(C699,32)+1,1)&amp;MID('Paramètres'!$D$2,MOD(INT(C699/32),32)+1,1)&amp;MID('Paramètres'!$D$2,MOD(C729,32)+1,1)&amp;MID('Paramètres'!$D$2,MOD(INT(C729/32),32)+1,1)&amp;MID('Paramètres'!$D$2,MOD(C759,32)+1,1)&amp;MID('Paramètres'!$D$2,MOD(INT(C759/32),32)+1,1)&amp;MID('Paramètres'!$D$2,MOD(C789,32)+1,1)&amp;MID('Paramètres'!$D$2,MOD(INT(C789/32),32)+1,1),10)</f>
        <v>0</v>
      </c>
    </row>
    <row r="792" spans="1:3">
      <c r="A792" s="6" t="s">
        <v>141</v>
      </c>
    </row>
    <row r="793" spans="1:3">
      <c r="A793" t="s">
        <v>128</v>
      </c>
      <c r="B793">
        <f>"lve"&amp;Calcul!$B$82&amp;0</f>
        <v>0</v>
      </c>
    </row>
    <row r="794" spans="1:3">
      <c r="B794">
        <f>_xlfn.UNICODE(MID($B$793,1,1))</f>
        <v>0</v>
      </c>
      <c r="C794">
        <f>MOD(MOD(_xlfn.BITXOR(2166136261,B794),256)*16777216+_xlfn.BITXOR(2166136261,B794)*403,4294967296)</f>
        <v>0</v>
      </c>
    </row>
    <row r="795" spans="1:3">
      <c r="B795">
        <f>_xlfn.UNICODE(MID($B$793,2,1))</f>
        <v>0</v>
      </c>
      <c r="C795">
        <f>MOD(MOD(_xlfn.BITXOR(C794,B795),256)*16777216+_xlfn.BITXOR(C794,B795)*403,4294967296)</f>
        <v>0</v>
      </c>
    </row>
    <row r="796" spans="1:3">
      <c r="B796">
        <f>_xlfn.UNICODE(MID($B$793,3,1))</f>
        <v>0</v>
      </c>
      <c r="C796">
        <f>MOD(MOD(_xlfn.BITXOR(C795,B796),256)*16777216+_xlfn.BITXOR(C795,B796)*403,4294967296)</f>
        <v>0</v>
      </c>
    </row>
    <row r="797" spans="1:3">
      <c r="B797">
        <f>_xlfn.UNICODE(MID($B$793,4,1))</f>
        <v>0</v>
      </c>
      <c r="C797">
        <f>MOD(MOD(_xlfn.BITXOR(C796,B797),256)*16777216+_xlfn.BITXOR(C796,B797)*403,4294967296)</f>
        <v>0</v>
      </c>
    </row>
    <row r="798" spans="1:3">
      <c r="B798">
        <f>_xlfn.UNICODE(MID($B$793,5,1))</f>
        <v>0</v>
      </c>
      <c r="C798">
        <f>MOD(MOD(_xlfn.BITXOR(C797,B798),256)*16777216+_xlfn.BITXOR(C797,B798)*403,4294967296)</f>
        <v>0</v>
      </c>
    </row>
    <row r="799" spans="1:3">
      <c r="B799">
        <f>_xlfn.UNICODE(MID($B$793,6,1))</f>
        <v>0</v>
      </c>
      <c r="C799">
        <f>MOD(MOD(_xlfn.BITXOR(C798,B799),256)*16777216+_xlfn.BITXOR(C798,B799)*403,4294967296)</f>
        <v>0</v>
      </c>
    </row>
    <row r="800" spans="1:3">
      <c r="B800">
        <f>_xlfn.UNICODE(MID($B$793,7,1))</f>
        <v>0</v>
      </c>
      <c r="C800">
        <f>MOD(MOD(_xlfn.BITXOR(C799,B800),256)*16777216+_xlfn.BITXOR(C799,B800)*403,4294967296)</f>
        <v>0</v>
      </c>
    </row>
    <row r="801" spans="2:3">
      <c r="B801">
        <f>_xlfn.UNICODE(MID($B$793,8,1))</f>
        <v>0</v>
      </c>
      <c r="C801">
        <f>MOD(MOD(_xlfn.BITXOR(C800,B801),256)*16777216+_xlfn.BITXOR(C800,B801)*403,4294967296)</f>
        <v>0</v>
      </c>
    </row>
    <row r="802" spans="2:3">
      <c r="B802">
        <f>_xlfn.UNICODE(MID($B$793,9,1))</f>
        <v>0</v>
      </c>
      <c r="C802">
        <f>MOD(MOD(_xlfn.BITXOR(C801,B802),256)*16777216+_xlfn.BITXOR(C801,B802)*403,4294967296)</f>
        <v>0</v>
      </c>
    </row>
    <row r="803" spans="2:3">
      <c r="B803">
        <f>_xlfn.UNICODE(MID($B$793,10,1))</f>
        <v>0</v>
      </c>
      <c r="C803">
        <f>MOD(MOD(_xlfn.BITXOR(C802,B803),256)*16777216+_xlfn.BITXOR(C802,B803)*403,4294967296)</f>
        <v>0</v>
      </c>
    </row>
    <row r="804" spans="2:3">
      <c r="B804">
        <f>_xlfn.UNICODE(MID($B$793,11,1))</f>
        <v>0</v>
      </c>
      <c r="C804">
        <f>MOD(MOD(_xlfn.BITXOR(C803,B804),256)*16777216+_xlfn.BITXOR(C803,B804)*403,4294967296)</f>
        <v>0</v>
      </c>
    </row>
    <row r="805" spans="2:3">
      <c r="B805">
        <f>_xlfn.UNICODE(MID($B$793,12,1))</f>
        <v>0</v>
      </c>
      <c r="C805">
        <f>MOD(MOD(_xlfn.BITXOR(C804,B805),256)*16777216+_xlfn.BITXOR(C804,B805)*403,4294967296)</f>
        <v>0</v>
      </c>
    </row>
    <row r="806" spans="2:3">
      <c r="B806">
        <f>_xlfn.UNICODE(MID($B$793,13,1))</f>
        <v>0</v>
      </c>
      <c r="C806">
        <f>MOD(MOD(_xlfn.BITXOR(C805,B806),256)*16777216+_xlfn.BITXOR(C805,B806)*403,4294967296)</f>
        <v>0</v>
      </c>
    </row>
    <row r="807" spans="2:3">
      <c r="B807">
        <f>_xlfn.UNICODE(MID($B$793,14,1))</f>
        <v>0</v>
      </c>
      <c r="C807">
        <f>MOD(MOD(_xlfn.BITXOR(C806,B807),256)*16777216+_xlfn.BITXOR(C806,B807)*403,4294967296)</f>
        <v>0</v>
      </c>
    </row>
    <row r="808" spans="2:3">
      <c r="B808">
        <f>_xlfn.UNICODE(MID($B$793,15,1))</f>
        <v>0</v>
      </c>
      <c r="C808">
        <f>MOD(MOD(_xlfn.BITXOR(C807,B808),256)*16777216+_xlfn.BITXOR(C807,B808)*403,4294967296)</f>
        <v>0</v>
      </c>
    </row>
    <row r="809" spans="2:3">
      <c r="B809">
        <f>_xlfn.UNICODE(MID($B$793,16,1))</f>
        <v>0</v>
      </c>
      <c r="C809">
        <f>MOD(MOD(_xlfn.BITXOR(C808,B809),256)*16777216+_xlfn.BITXOR(C808,B809)*403,4294967296)</f>
        <v>0</v>
      </c>
    </row>
    <row r="810" spans="2:3">
      <c r="B810">
        <f>_xlfn.UNICODE(MID($B$793,17,1))</f>
        <v>0</v>
      </c>
      <c r="C810">
        <f>MOD(MOD(_xlfn.BITXOR(C809,B810),256)*16777216+_xlfn.BITXOR(C809,B810)*403,4294967296)</f>
        <v>0</v>
      </c>
    </row>
    <row r="811" spans="2:3">
      <c r="B811">
        <f>_xlfn.UNICODE(MID($B$793,18,1))</f>
        <v>0</v>
      </c>
      <c r="C811">
        <f>MOD(MOD(_xlfn.BITXOR(C810,B811),256)*16777216+_xlfn.BITXOR(C810,B811)*403,4294967296)</f>
        <v>0</v>
      </c>
    </row>
    <row r="812" spans="2:3">
      <c r="B812">
        <f>_xlfn.UNICODE(MID($B$793,19,1))</f>
        <v>0</v>
      </c>
      <c r="C812">
        <f>MOD(MOD(_xlfn.BITXOR(C811,B812),256)*16777216+_xlfn.BITXOR(C811,B812)*403,4294967296)</f>
        <v>0</v>
      </c>
    </row>
    <row r="813" spans="2:3">
      <c r="B813">
        <f>_xlfn.UNICODE(MID($B$793,20,1))</f>
        <v>0</v>
      </c>
      <c r="C813">
        <f>MOD(MOD(_xlfn.BITXOR(C812,B813),256)*16777216+_xlfn.BITXOR(C812,B813)*403,4294967296)</f>
        <v>0</v>
      </c>
    </row>
    <row r="814" spans="2:3">
      <c r="B814">
        <f>_xlfn.UNICODE(MID($B$793,21,1))</f>
        <v>0</v>
      </c>
      <c r="C814">
        <f>MOD(MOD(_xlfn.BITXOR(C813,B814),256)*16777216+_xlfn.BITXOR(C813,B814)*403,4294967296)</f>
        <v>0</v>
      </c>
    </row>
    <row r="815" spans="2:3">
      <c r="B815">
        <f>_xlfn.UNICODE(MID($B$793,22,1))</f>
        <v>0</v>
      </c>
      <c r="C815">
        <f>MOD(MOD(_xlfn.BITXOR(C814,B815),256)*16777216+_xlfn.BITXOR(C814,B815)*403,4294967296)</f>
        <v>0</v>
      </c>
    </row>
    <row r="816" spans="2:3">
      <c r="B816">
        <f>_xlfn.UNICODE(MID($B$793,23,1))</f>
        <v>0</v>
      </c>
      <c r="C816">
        <f>MOD(MOD(_xlfn.BITXOR(C815,B816),256)*16777216+_xlfn.BITXOR(C815,B816)*403,4294967296)</f>
        <v>0</v>
      </c>
    </row>
    <row r="817" spans="1:3">
      <c r="B817">
        <f>_xlfn.UNICODE(MID($B$793,24,1))</f>
        <v>0</v>
      </c>
      <c r="C817">
        <f>MOD(MOD(_xlfn.BITXOR(C816,B817),256)*16777216+_xlfn.BITXOR(C816,B817)*403,4294967296)</f>
        <v>0</v>
      </c>
    </row>
    <row r="818" spans="1:3">
      <c r="B818">
        <f>_xlfn.UNICODE(MID($B$793,25,1))</f>
        <v>0</v>
      </c>
      <c r="C818">
        <f>MOD(MOD(_xlfn.BITXOR(C817,B818),256)*16777216+_xlfn.BITXOR(C817,B818)*403,4294967296)</f>
        <v>0</v>
      </c>
    </row>
    <row r="819" spans="1:3">
      <c r="B819">
        <f>_xlfn.UNICODE(MID($B$793,26,1))</f>
        <v>0</v>
      </c>
      <c r="C819">
        <f>MOD(MOD(_xlfn.BITXOR(C818,B819),256)*16777216+_xlfn.BITXOR(C818,B819)*403,4294967296)</f>
        <v>0</v>
      </c>
    </row>
    <row r="820" spans="1:3">
      <c r="B820">
        <f>_xlfn.UNICODE(MID($B$793,27,1))</f>
        <v>0</v>
      </c>
      <c r="C820">
        <f>MOD(MOD(_xlfn.BITXOR(C819,B820),256)*16777216+_xlfn.BITXOR(C819,B820)*403,4294967296)</f>
        <v>0</v>
      </c>
    </row>
    <row r="821" spans="1:3">
      <c r="B821">
        <f>_xlfn.UNICODE(MID($B$793,28,1))</f>
        <v>0</v>
      </c>
      <c r="C821">
        <f>MOD(MOD(_xlfn.BITXOR(C820,B821),256)*16777216+_xlfn.BITXOR(C820,B821)*403,4294967296)</f>
        <v>0</v>
      </c>
    </row>
    <row r="822" spans="1:3">
      <c r="B822">
        <f>_xlfn.UNICODE(MID($B$793,29,1))</f>
        <v>0</v>
      </c>
      <c r="C822">
        <f>MOD(MOD(_xlfn.BITXOR(C821,B822),256)*16777216+_xlfn.BITXOR(C821,B822)*403,4294967296)</f>
        <v>0</v>
      </c>
    </row>
    <row r="823" spans="1:3">
      <c r="A823" t="s">
        <v>129</v>
      </c>
      <c r="B823">
        <f>"lve"&amp;Calcul!$B$82&amp;2</f>
        <v>0</v>
      </c>
    </row>
    <row r="824" spans="1:3">
      <c r="B824">
        <f>_xlfn.UNICODE(MID($B$823,1,1))</f>
        <v>0</v>
      </c>
      <c r="C824">
        <f>MOD(MOD(_xlfn.BITXOR(C822,B824),256)*16777216+_xlfn.BITXOR(C822,B824)*403,4294967296)</f>
        <v>0</v>
      </c>
    </row>
    <row r="825" spans="1:3">
      <c r="B825">
        <f>_xlfn.UNICODE(MID($B$823,2,1))</f>
        <v>0</v>
      </c>
      <c r="C825">
        <f>MOD(MOD(_xlfn.BITXOR(C824,B825),256)*16777216+_xlfn.BITXOR(C824,B825)*403,4294967296)</f>
        <v>0</v>
      </c>
    </row>
    <row r="826" spans="1:3">
      <c r="B826">
        <f>_xlfn.UNICODE(MID($B$823,3,1))</f>
        <v>0</v>
      </c>
      <c r="C826">
        <f>MOD(MOD(_xlfn.BITXOR(C825,B826),256)*16777216+_xlfn.BITXOR(C825,B826)*403,4294967296)</f>
        <v>0</v>
      </c>
    </row>
    <row r="827" spans="1:3">
      <c r="B827">
        <f>_xlfn.UNICODE(MID($B$823,4,1))</f>
        <v>0</v>
      </c>
      <c r="C827">
        <f>MOD(MOD(_xlfn.BITXOR(C826,B827),256)*16777216+_xlfn.BITXOR(C826,B827)*403,4294967296)</f>
        <v>0</v>
      </c>
    </row>
    <row r="828" spans="1:3">
      <c r="B828">
        <f>_xlfn.UNICODE(MID($B$823,5,1))</f>
        <v>0</v>
      </c>
      <c r="C828">
        <f>MOD(MOD(_xlfn.BITXOR(C827,B828),256)*16777216+_xlfn.BITXOR(C827,B828)*403,4294967296)</f>
        <v>0</v>
      </c>
    </row>
    <row r="829" spans="1:3">
      <c r="B829">
        <f>_xlfn.UNICODE(MID($B$823,6,1))</f>
        <v>0</v>
      </c>
      <c r="C829">
        <f>MOD(MOD(_xlfn.BITXOR(C828,B829),256)*16777216+_xlfn.BITXOR(C828,B829)*403,4294967296)</f>
        <v>0</v>
      </c>
    </row>
    <row r="830" spans="1:3">
      <c r="B830">
        <f>_xlfn.UNICODE(MID($B$823,7,1))</f>
        <v>0</v>
      </c>
      <c r="C830">
        <f>MOD(MOD(_xlfn.BITXOR(C829,B830),256)*16777216+_xlfn.BITXOR(C829,B830)*403,4294967296)</f>
        <v>0</v>
      </c>
    </row>
    <row r="831" spans="1:3">
      <c r="B831">
        <f>_xlfn.UNICODE(MID($B$823,8,1))</f>
        <v>0</v>
      </c>
      <c r="C831">
        <f>MOD(MOD(_xlfn.BITXOR(C830,B831),256)*16777216+_xlfn.BITXOR(C830,B831)*403,4294967296)</f>
        <v>0</v>
      </c>
    </row>
    <row r="832" spans="1:3">
      <c r="B832">
        <f>_xlfn.UNICODE(MID($B$823,9,1))</f>
        <v>0</v>
      </c>
      <c r="C832">
        <f>MOD(MOD(_xlfn.BITXOR(C831,B832),256)*16777216+_xlfn.BITXOR(C831,B832)*403,4294967296)</f>
        <v>0</v>
      </c>
    </row>
    <row r="833" spans="2:3">
      <c r="B833">
        <f>_xlfn.UNICODE(MID($B$823,10,1))</f>
        <v>0</v>
      </c>
      <c r="C833">
        <f>MOD(MOD(_xlfn.BITXOR(C832,B833),256)*16777216+_xlfn.BITXOR(C832,B833)*403,4294967296)</f>
        <v>0</v>
      </c>
    </row>
    <row r="834" spans="2:3">
      <c r="B834">
        <f>_xlfn.UNICODE(MID($B$823,11,1))</f>
        <v>0</v>
      </c>
      <c r="C834">
        <f>MOD(MOD(_xlfn.BITXOR(C833,B834),256)*16777216+_xlfn.BITXOR(C833,B834)*403,4294967296)</f>
        <v>0</v>
      </c>
    </row>
    <row r="835" spans="2:3">
      <c r="B835">
        <f>_xlfn.UNICODE(MID($B$823,12,1))</f>
        <v>0</v>
      </c>
      <c r="C835">
        <f>MOD(MOD(_xlfn.BITXOR(C834,B835),256)*16777216+_xlfn.BITXOR(C834,B835)*403,4294967296)</f>
        <v>0</v>
      </c>
    </row>
    <row r="836" spans="2:3">
      <c r="B836">
        <f>_xlfn.UNICODE(MID($B$823,13,1))</f>
        <v>0</v>
      </c>
      <c r="C836">
        <f>MOD(MOD(_xlfn.BITXOR(C835,B836),256)*16777216+_xlfn.BITXOR(C835,B836)*403,4294967296)</f>
        <v>0</v>
      </c>
    </row>
    <row r="837" spans="2:3">
      <c r="B837">
        <f>_xlfn.UNICODE(MID($B$823,14,1))</f>
        <v>0</v>
      </c>
      <c r="C837">
        <f>MOD(MOD(_xlfn.BITXOR(C836,B837),256)*16777216+_xlfn.BITXOR(C836,B837)*403,4294967296)</f>
        <v>0</v>
      </c>
    </row>
    <row r="838" spans="2:3">
      <c r="B838">
        <f>_xlfn.UNICODE(MID($B$823,15,1))</f>
        <v>0</v>
      </c>
      <c r="C838">
        <f>MOD(MOD(_xlfn.BITXOR(C837,B838),256)*16777216+_xlfn.BITXOR(C837,B838)*403,4294967296)</f>
        <v>0</v>
      </c>
    </row>
    <row r="839" spans="2:3">
      <c r="B839">
        <f>_xlfn.UNICODE(MID($B$823,16,1))</f>
        <v>0</v>
      </c>
      <c r="C839">
        <f>MOD(MOD(_xlfn.BITXOR(C838,B839),256)*16777216+_xlfn.BITXOR(C838,B839)*403,4294967296)</f>
        <v>0</v>
      </c>
    </row>
    <row r="840" spans="2:3">
      <c r="B840">
        <f>_xlfn.UNICODE(MID($B$823,17,1))</f>
        <v>0</v>
      </c>
      <c r="C840">
        <f>MOD(MOD(_xlfn.BITXOR(C839,B840),256)*16777216+_xlfn.BITXOR(C839,B840)*403,4294967296)</f>
        <v>0</v>
      </c>
    </row>
    <row r="841" spans="2:3">
      <c r="B841">
        <f>_xlfn.UNICODE(MID($B$823,18,1))</f>
        <v>0</v>
      </c>
      <c r="C841">
        <f>MOD(MOD(_xlfn.BITXOR(C840,B841),256)*16777216+_xlfn.BITXOR(C840,B841)*403,4294967296)</f>
        <v>0</v>
      </c>
    </row>
    <row r="842" spans="2:3">
      <c r="B842">
        <f>_xlfn.UNICODE(MID($B$823,19,1))</f>
        <v>0</v>
      </c>
      <c r="C842">
        <f>MOD(MOD(_xlfn.BITXOR(C841,B842),256)*16777216+_xlfn.BITXOR(C841,B842)*403,4294967296)</f>
        <v>0</v>
      </c>
    </row>
    <row r="843" spans="2:3">
      <c r="B843">
        <f>_xlfn.UNICODE(MID($B$823,20,1))</f>
        <v>0</v>
      </c>
      <c r="C843">
        <f>MOD(MOD(_xlfn.BITXOR(C842,B843),256)*16777216+_xlfn.BITXOR(C842,B843)*403,4294967296)</f>
        <v>0</v>
      </c>
    </row>
    <row r="844" spans="2:3">
      <c r="B844">
        <f>_xlfn.UNICODE(MID($B$823,21,1))</f>
        <v>0</v>
      </c>
      <c r="C844">
        <f>MOD(MOD(_xlfn.BITXOR(C843,B844),256)*16777216+_xlfn.BITXOR(C843,B844)*403,4294967296)</f>
        <v>0</v>
      </c>
    </row>
    <row r="845" spans="2:3">
      <c r="B845">
        <f>_xlfn.UNICODE(MID($B$823,22,1))</f>
        <v>0</v>
      </c>
      <c r="C845">
        <f>MOD(MOD(_xlfn.BITXOR(C844,B845),256)*16777216+_xlfn.BITXOR(C844,B845)*403,4294967296)</f>
        <v>0</v>
      </c>
    </row>
    <row r="846" spans="2:3">
      <c r="B846">
        <f>_xlfn.UNICODE(MID($B$823,23,1))</f>
        <v>0</v>
      </c>
      <c r="C846">
        <f>MOD(MOD(_xlfn.BITXOR(C845,B846),256)*16777216+_xlfn.BITXOR(C845,B846)*403,4294967296)</f>
        <v>0</v>
      </c>
    </row>
    <row r="847" spans="2:3">
      <c r="B847">
        <f>_xlfn.UNICODE(MID($B$823,24,1))</f>
        <v>0</v>
      </c>
      <c r="C847">
        <f>MOD(MOD(_xlfn.BITXOR(C846,B847),256)*16777216+_xlfn.BITXOR(C846,B847)*403,4294967296)</f>
        <v>0</v>
      </c>
    </row>
    <row r="848" spans="2:3">
      <c r="B848">
        <f>_xlfn.UNICODE(MID($B$823,25,1))</f>
        <v>0</v>
      </c>
      <c r="C848">
        <f>MOD(MOD(_xlfn.BITXOR(C847,B848),256)*16777216+_xlfn.BITXOR(C847,B848)*403,4294967296)</f>
        <v>0</v>
      </c>
    </row>
    <row r="849" spans="1:3">
      <c r="B849">
        <f>_xlfn.UNICODE(MID($B$823,26,1))</f>
        <v>0</v>
      </c>
      <c r="C849">
        <f>MOD(MOD(_xlfn.BITXOR(C848,B849),256)*16777216+_xlfn.BITXOR(C848,B849)*403,4294967296)</f>
        <v>0</v>
      </c>
    </row>
    <row r="850" spans="1:3">
      <c r="B850">
        <f>_xlfn.UNICODE(MID($B$823,27,1))</f>
        <v>0</v>
      </c>
      <c r="C850">
        <f>MOD(MOD(_xlfn.BITXOR(C849,B850),256)*16777216+_xlfn.BITXOR(C849,B850)*403,4294967296)</f>
        <v>0</v>
      </c>
    </row>
    <row r="851" spans="1:3">
      <c r="B851">
        <f>_xlfn.UNICODE(MID($B$823,28,1))</f>
        <v>0</v>
      </c>
      <c r="C851">
        <f>MOD(MOD(_xlfn.BITXOR(C850,B851),256)*16777216+_xlfn.BITXOR(C850,B851)*403,4294967296)</f>
        <v>0</v>
      </c>
    </row>
    <row r="852" spans="1:3">
      <c r="B852">
        <f>_xlfn.UNICODE(MID($B$823,29,1))</f>
        <v>0</v>
      </c>
      <c r="C852">
        <f>MOD(MOD(_xlfn.BITXOR(C851,B852),256)*16777216+_xlfn.BITXOR(C851,B852)*403,4294967296)</f>
        <v>0</v>
      </c>
    </row>
    <row r="853" spans="1:3">
      <c r="A853" t="s">
        <v>130</v>
      </c>
      <c r="B853">
        <f>"lve"&amp;Calcul!$B$82&amp;4</f>
        <v>0</v>
      </c>
    </row>
    <row r="854" spans="1:3">
      <c r="B854">
        <f>_xlfn.UNICODE(MID($B$853,1,1))</f>
        <v>0</v>
      </c>
      <c r="C854">
        <f>MOD(MOD(_xlfn.BITXOR(C852,B854),256)*16777216+_xlfn.BITXOR(C852,B854)*403,4294967296)</f>
        <v>0</v>
      </c>
    </row>
    <row r="855" spans="1:3">
      <c r="B855">
        <f>_xlfn.UNICODE(MID($B$853,2,1))</f>
        <v>0</v>
      </c>
      <c r="C855">
        <f>MOD(MOD(_xlfn.BITXOR(C854,B855),256)*16777216+_xlfn.BITXOR(C854,B855)*403,4294967296)</f>
        <v>0</v>
      </c>
    </row>
    <row r="856" spans="1:3">
      <c r="B856">
        <f>_xlfn.UNICODE(MID($B$853,3,1))</f>
        <v>0</v>
      </c>
      <c r="C856">
        <f>MOD(MOD(_xlfn.BITXOR(C855,B856),256)*16777216+_xlfn.BITXOR(C855,B856)*403,4294967296)</f>
        <v>0</v>
      </c>
    </row>
    <row r="857" spans="1:3">
      <c r="B857">
        <f>_xlfn.UNICODE(MID($B$853,4,1))</f>
        <v>0</v>
      </c>
      <c r="C857">
        <f>MOD(MOD(_xlfn.BITXOR(C856,B857),256)*16777216+_xlfn.BITXOR(C856,B857)*403,4294967296)</f>
        <v>0</v>
      </c>
    </row>
    <row r="858" spans="1:3">
      <c r="B858">
        <f>_xlfn.UNICODE(MID($B$853,5,1))</f>
        <v>0</v>
      </c>
      <c r="C858">
        <f>MOD(MOD(_xlfn.BITXOR(C857,B858),256)*16777216+_xlfn.BITXOR(C857,B858)*403,4294967296)</f>
        <v>0</v>
      </c>
    </row>
    <row r="859" spans="1:3">
      <c r="B859">
        <f>_xlfn.UNICODE(MID($B$853,6,1))</f>
        <v>0</v>
      </c>
      <c r="C859">
        <f>MOD(MOD(_xlfn.BITXOR(C858,B859),256)*16777216+_xlfn.BITXOR(C858,B859)*403,4294967296)</f>
        <v>0</v>
      </c>
    </row>
    <row r="860" spans="1:3">
      <c r="B860">
        <f>_xlfn.UNICODE(MID($B$853,7,1))</f>
        <v>0</v>
      </c>
      <c r="C860">
        <f>MOD(MOD(_xlfn.BITXOR(C859,B860),256)*16777216+_xlfn.BITXOR(C859,B860)*403,4294967296)</f>
        <v>0</v>
      </c>
    </row>
    <row r="861" spans="1:3">
      <c r="B861">
        <f>_xlfn.UNICODE(MID($B$853,8,1))</f>
        <v>0</v>
      </c>
      <c r="C861">
        <f>MOD(MOD(_xlfn.BITXOR(C860,B861),256)*16777216+_xlfn.BITXOR(C860,B861)*403,4294967296)</f>
        <v>0</v>
      </c>
    </row>
    <row r="862" spans="1:3">
      <c r="B862">
        <f>_xlfn.UNICODE(MID($B$853,9,1))</f>
        <v>0</v>
      </c>
      <c r="C862">
        <f>MOD(MOD(_xlfn.BITXOR(C861,B862),256)*16777216+_xlfn.BITXOR(C861,B862)*403,4294967296)</f>
        <v>0</v>
      </c>
    </row>
    <row r="863" spans="1:3">
      <c r="B863">
        <f>_xlfn.UNICODE(MID($B$853,10,1))</f>
        <v>0</v>
      </c>
      <c r="C863">
        <f>MOD(MOD(_xlfn.BITXOR(C862,B863),256)*16777216+_xlfn.BITXOR(C862,B863)*403,4294967296)</f>
        <v>0</v>
      </c>
    </row>
    <row r="864" spans="1:3">
      <c r="B864">
        <f>_xlfn.UNICODE(MID($B$853,11,1))</f>
        <v>0</v>
      </c>
      <c r="C864">
        <f>MOD(MOD(_xlfn.BITXOR(C863,B864),256)*16777216+_xlfn.BITXOR(C863,B864)*403,4294967296)</f>
        <v>0</v>
      </c>
    </row>
    <row r="865" spans="2:3">
      <c r="B865">
        <f>_xlfn.UNICODE(MID($B$853,12,1))</f>
        <v>0</v>
      </c>
      <c r="C865">
        <f>MOD(MOD(_xlfn.BITXOR(C864,B865),256)*16777216+_xlfn.BITXOR(C864,B865)*403,4294967296)</f>
        <v>0</v>
      </c>
    </row>
    <row r="866" spans="2:3">
      <c r="B866">
        <f>_xlfn.UNICODE(MID($B$853,13,1))</f>
        <v>0</v>
      </c>
      <c r="C866">
        <f>MOD(MOD(_xlfn.BITXOR(C865,B866),256)*16777216+_xlfn.BITXOR(C865,B866)*403,4294967296)</f>
        <v>0</v>
      </c>
    </row>
    <row r="867" spans="2:3">
      <c r="B867">
        <f>_xlfn.UNICODE(MID($B$853,14,1))</f>
        <v>0</v>
      </c>
      <c r="C867">
        <f>MOD(MOD(_xlfn.BITXOR(C866,B867),256)*16777216+_xlfn.BITXOR(C866,B867)*403,4294967296)</f>
        <v>0</v>
      </c>
    </row>
    <row r="868" spans="2:3">
      <c r="B868">
        <f>_xlfn.UNICODE(MID($B$853,15,1))</f>
        <v>0</v>
      </c>
      <c r="C868">
        <f>MOD(MOD(_xlfn.BITXOR(C867,B868),256)*16777216+_xlfn.BITXOR(C867,B868)*403,4294967296)</f>
        <v>0</v>
      </c>
    </row>
    <row r="869" spans="2:3">
      <c r="B869">
        <f>_xlfn.UNICODE(MID($B$853,16,1))</f>
        <v>0</v>
      </c>
      <c r="C869">
        <f>MOD(MOD(_xlfn.BITXOR(C868,B869),256)*16777216+_xlfn.BITXOR(C868,B869)*403,4294967296)</f>
        <v>0</v>
      </c>
    </row>
    <row r="870" spans="2:3">
      <c r="B870">
        <f>_xlfn.UNICODE(MID($B$853,17,1))</f>
        <v>0</v>
      </c>
      <c r="C870">
        <f>MOD(MOD(_xlfn.BITXOR(C869,B870),256)*16777216+_xlfn.BITXOR(C869,B870)*403,4294967296)</f>
        <v>0</v>
      </c>
    </row>
    <row r="871" spans="2:3">
      <c r="B871">
        <f>_xlfn.UNICODE(MID($B$853,18,1))</f>
        <v>0</v>
      </c>
      <c r="C871">
        <f>MOD(MOD(_xlfn.BITXOR(C870,B871),256)*16777216+_xlfn.BITXOR(C870,B871)*403,4294967296)</f>
        <v>0</v>
      </c>
    </row>
    <row r="872" spans="2:3">
      <c r="B872">
        <f>_xlfn.UNICODE(MID($B$853,19,1))</f>
        <v>0</v>
      </c>
      <c r="C872">
        <f>MOD(MOD(_xlfn.BITXOR(C871,B872),256)*16777216+_xlfn.BITXOR(C871,B872)*403,4294967296)</f>
        <v>0</v>
      </c>
    </row>
    <row r="873" spans="2:3">
      <c r="B873">
        <f>_xlfn.UNICODE(MID($B$853,20,1))</f>
        <v>0</v>
      </c>
      <c r="C873">
        <f>MOD(MOD(_xlfn.BITXOR(C872,B873),256)*16777216+_xlfn.BITXOR(C872,B873)*403,4294967296)</f>
        <v>0</v>
      </c>
    </row>
    <row r="874" spans="2:3">
      <c r="B874">
        <f>_xlfn.UNICODE(MID($B$853,21,1))</f>
        <v>0</v>
      </c>
      <c r="C874">
        <f>MOD(MOD(_xlfn.BITXOR(C873,B874),256)*16777216+_xlfn.BITXOR(C873,B874)*403,4294967296)</f>
        <v>0</v>
      </c>
    </row>
    <row r="875" spans="2:3">
      <c r="B875">
        <f>_xlfn.UNICODE(MID($B$853,22,1))</f>
        <v>0</v>
      </c>
      <c r="C875">
        <f>MOD(MOD(_xlfn.BITXOR(C874,B875),256)*16777216+_xlfn.BITXOR(C874,B875)*403,4294967296)</f>
        <v>0</v>
      </c>
    </row>
    <row r="876" spans="2:3">
      <c r="B876">
        <f>_xlfn.UNICODE(MID($B$853,23,1))</f>
        <v>0</v>
      </c>
      <c r="C876">
        <f>MOD(MOD(_xlfn.BITXOR(C875,B876),256)*16777216+_xlfn.BITXOR(C875,B876)*403,4294967296)</f>
        <v>0</v>
      </c>
    </row>
    <row r="877" spans="2:3">
      <c r="B877">
        <f>_xlfn.UNICODE(MID($B$853,24,1))</f>
        <v>0</v>
      </c>
      <c r="C877">
        <f>MOD(MOD(_xlfn.BITXOR(C876,B877),256)*16777216+_xlfn.BITXOR(C876,B877)*403,4294967296)</f>
        <v>0</v>
      </c>
    </row>
    <row r="878" spans="2:3">
      <c r="B878">
        <f>_xlfn.UNICODE(MID($B$853,25,1))</f>
        <v>0</v>
      </c>
      <c r="C878">
        <f>MOD(MOD(_xlfn.BITXOR(C877,B878),256)*16777216+_xlfn.BITXOR(C877,B878)*403,4294967296)</f>
        <v>0</v>
      </c>
    </row>
    <row r="879" spans="2:3">
      <c r="B879">
        <f>_xlfn.UNICODE(MID($B$853,26,1))</f>
        <v>0</v>
      </c>
      <c r="C879">
        <f>MOD(MOD(_xlfn.BITXOR(C878,B879),256)*16777216+_xlfn.BITXOR(C878,B879)*403,4294967296)</f>
        <v>0</v>
      </c>
    </row>
    <row r="880" spans="2:3">
      <c r="B880">
        <f>_xlfn.UNICODE(MID($B$853,27,1))</f>
        <v>0</v>
      </c>
      <c r="C880">
        <f>MOD(MOD(_xlfn.BITXOR(C879,B880),256)*16777216+_xlfn.BITXOR(C879,B880)*403,4294967296)</f>
        <v>0</v>
      </c>
    </row>
    <row r="881" spans="1:3">
      <c r="B881">
        <f>_xlfn.UNICODE(MID($B$853,28,1))</f>
        <v>0</v>
      </c>
      <c r="C881">
        <f>MOD(MOD(_xlfn.BITXOR(C880,B881),256)*16777216+_xlfn.BITXOR(C880,B881)*403,4294967296)</f>
        <v>0</v>
      </c>
    </row>
    <row r="882" spans="1:3">
      <c r="B882">
        <f>_xlfn.UNICODE(MID($B$853,29,1))</f>
        <v>0</v>
      </c>
      <c r="C882">
        <f>MOD(MOD(_xlfn.BITXOR(C881,B882),256)*16777216+_xlfn.BITXOR(C881,B882)*403,4294967296)</f>
        <v>0</v>
      </c>
    </row>
    <row r="883" spans="1:3">
      <c r="A883" t="s">
        <v>131</v>
      </c>
      <c r="B883">
        <f>"lve"&amp;Calcul!$B$82&amp;6</f>
        <v>0</v>
      </c>
    </row>
    <row r="884" spans="1:3">
      <c r="B884">
        <f>_xlfn.UNICODE(MID($B$883,1,1))</f>
        <v>0</v>
      </c>
      <c r="C884">
        <f>MOD(MOD(_xlfn.BITXOR(C882,B884),256)*16777216+_xlfn.BITXOR(C882,B884)*403,4294967296)</f>
        <v>0</v>
      </c>
    </row>
    <row r="885" spans="1:3">
      <c r="B885">
        <f>_xlfn.UNICODE(MID($B$883,2,1))</f>
        <v>0</v>
      </c>
      <c r="C885">
        <f>MOD(MOD(_xlfn.BITXOR(C884,B885),256)*16777216+_xlfn.BITXOR(C884,B885)*403,4294967296)</f>
        <v>0</v>
      </c>
    </row>
    <row r="886" spans="1:3">
      <c r="B886">
        <f>_xlfn.UNICODE(MID($B$883,3,1))</f>
        <v>0</v>
      </c>
      <c r="C886">
        <f>MOD(MOD(_xlfn.BITXOR(C885,B886),256)*16777216+_xlfn.BITXOR(C885,B886)*403,4294967296)</f>
        <v>0</v>
      </c>
    </row>
    <row r="887" spans="1:3">
      <c r="B887">
        <f>_xlfn.UNICODE(MID($B$883,4,1))</f>
        <v>0</v>
      </c>
      <c r="C887">
        <f>MOD(MOD(_xlfn.BITXOR(C886,B887),256)*16777216+_xlfn.BITXOR(C886,B887)*403,4294967296)</f>
        <v>0</v>
      </c>
    </row>
    <row r="888" spans="1:3">
      <c r="B888">
        <f>_xlfn.UNICODE(MID($B$883,5,1))</f>
        <v>0</v>
      </c>
      <c r="C888">
        <f>MOD(MOD(_xlfn.BITXOR(C887,B888),256)*16777216+_xlfn.BITXOR(C887,B888)*403,4294967296)</f>
        <v>0</v>
      </c>
    </row>
    <row r="889" spans="1:3">
      <c r="B889">
        <f>_xlfn.UNICODE(MID($B$883,6,1))</f>
        <v>0</v>
      </c>
      <c r="C889">
        <f>MOD(MOD(_xlfn.BITXOR(C888,B889),256)*16777216+_xlfn.BITXOR(C888,B889)*403,4294967296)</f>
        <v>0</v>
      </c>
    </row>
    <row r="890" spans="1:3">
      <c r="B890">
        <f>_xlfn.UNICODE(MID($B$883,7,1))</f>
        <v>0</v>
      </c>
      <c r="C890">
        <f>MOD(MOD(_xlfn.BITXOR(C889,B890),256)*16777216+_xlfn.BITXOR(C889,B890)*403,4294967296)</f>
        <v>0</v>
      </c>
    </row>
    <row r="891" spans="1:3">
      <c r="B891">
        <f>_xlfn.UNICODE(MID($B$883,8,1))</f>
        <v>0</v>
      </c>
      <c r="C891">
        <f>MOD(MOD(_xlfn.BITXOR(C890,B891),256)*16777216+_xlfn.BITXOR(C890,B891)*403,4294967296)</f>
        <v>0</v>
      </c>
    </row>
    <row r="892" spans="1:3">
      <c r="B892">
        <f>_xlfn.UNICODE(MID($B$883,9,1))</f>
        <v>0</v>
      </c>
      <c r="C892">
        <f>MOD(MOD(_xlfn.BITXOR(C891,B892),256)*16777216+_xlfn.BITXOR(C891,B892)*403,4294967296)</f>
        <v>0</v>
      </c>
    </row>
    <row r="893" spans="1:3">
      <c r="B893">
        <f>_xlfn.UNICODE(MID($B$883,10,1))</f>
        <v>0</v>
      </c>
      <c r="C893">
        <f>MOD(MOD(_xlfn.BITXOR(C892,B893),256)*16777216+_xlfn.BITXOR(C892,B893)*403,4294967296)</f>
        <v>0</v>
      </c>
    </row>
    <row r="894" spans="1:3">
      <c r="B894">
        <f>_xlfn.UNICODE(MID($B$883,11,1))</f>
        <v>0</v>
      </c>
      <c r="C894">
        <f>MOD(MOD(_xlfn.BITXOR(C893,B894),256)*16777216+_xlfn.BITXOR(C893,B894)*403,4294967296)</f>
        <v>0</v>
      </c>
    </row>
    <row r="895" spans="1:3">
      <c r="B895">
        <f>_xlfn.UNICODE(MID($B$883,12,1))</f>
        <v>0</v>
      </c>
      <c r="C895">
        <f>MOD(MOD(_xlfn.BITXOR(C894,B895),256)*16777216+_xlfn.BITXOR(C894,B895)*403,4294967296)</f>
        <v>0</v>
      </c>
    </row>
    <row r="896" spans="1:3">
      <c r="B896">
        <f>_xlfn.UNICODE(MID($B$883,13,1))</f>
        <v>0</v>
      </c>
      <c r="C896">
        <f>MOD(MOD(_xlfn.BITXOR(C895,B896),256)*16777216+_xlfn.BITXOR(C895,B896)*403,4294967296)</f>
        <v>0</v>
      </c>
    </row>
    <row r="897" spans="2:3">
      <c r="B897">
        <f>_xlfn.UNICODE(MID($B$883,14,1))</f>
        <v>0</v>
      </c>
      <c r="C897">
        <f>MOD(MOD(_xlfn.BITXOR(C896,B897),256)*16777216+_xlfn.BITXOR(C896,B897)*403,4294967296)</f>
        <v>0</v>
      </c>
    </row>
    <row r="898" spans="2:3">
      <c r="B898">
        <f>_xlfn.UNICODE(MID($B$883,15,1))</f>
        <v>0</v>
      </c>
      <c r="C898">
        <f>MOD(MOD(_xlfn.BITXOR(C897,B898),256)*16777216+_xlfn.BITXOR(C897,B898)*403,4294967296)</f>
        <v>0</v>
      </c>
    </row>
    <row r="899" spans="2:3">
      <c r="B899">
        <f>_xlfn.UNICODE(MID($B$883,16,1))</f>
        <v>0</v>
      </c>
      <c r="C899">
        <f>MOD(MOD(_xlfn.BITXOR(C898,B899),256)*16777216+_xlfn.BITXOR(C898,B899)*403,4294967296)</f>
        <v>0</v>
      </c>
    </row>
    <row r="900" spans="2:3">
      <c r="B900">
        <f>_xlfn.UNICODE(MID($B$883,17,1))</f>
        <v>0</v>
      </c>
      <c r="C900">
        <f>MOD(MOD(_xlfn.BITXOR(C899,B900),256)*16777216+_xlfn.BITXOR(C899,B900)*403,4294967296)</f>
        <v>0</v>
      </c>
    </row>
    <row r="901" spans="2:3">
      <c r="B901">
        <f>_xlfn.UNICODE(MID($B$883,18,1))</f>
        <v>0</v>
      </c>
      <c r="C901">
        <f>MOD(MOD(_xlfn.BITXOR(C900,B901),256)*16777216+_xlfn.BITXOR(C900,B901)*403,4294967296)</f>
        <v>0</v>
      </c>
    </row>
    <row r="902" spans="2:3">
      <c r="B902">
        <f>_xlfn.UNICODE(MID($B$883,19,1))</f>
        <v>0</v>
      </c>
      <c r="C902">
        <f>MOD(MOD(_xlfn.BITXOR(C901,B902),256)*16777216+_xlfn.BITXOR(C901,B902)*403,4294967296)</f>
        <v>0</v>
      </c>
    </row>
    <row r="903" spans="2:3">
      <c r="B903">
        <f>_xlfn.UNICODE(MID($B$883,20,1))</f>
        <v>0</v>
      </c>
      <c r="C903">
        <f>MOD(MOD(_xlfn.BITXOR(C902,B903),256)*16777216+_xlfn.BITXOR(C902,B903)*403,4294967296)</f>
        <v>0</v>
      </c>
    </row>
    <row r="904" spans="2:3">
      <c r="B904">
        <f>_xlfn.UNICODE(MID($B$883,21,1))</f>
        <v>0</v>
      </c>
      <c r="C904">
        <f>MOD(MOD(_xlfn.BITXOR(C903,B904),256)*16777216+_xlfn.BITXOR(C903,B904)*403,4294967296)</f>
        <v>0</v>
      </c>
    </row>
    <row r="905" spans="2:3">
      <c r="B905">
        <f>_xlfn.UNICODE(MID($B$883,22,1))</f>
        <v>0</v>
      </c>
      <c r="C905">
        <f>MOD(MOD(_xlfn.BITXOR(C904,B905),256)*16777216+_xlfn.BITXOR(C904,B905)*403,4294967296)</f>
        <v>0</v>
      </c>
    </row>
    <row r="906" spans="2:3">
      <c r="B906">
        <f>_xlfn.UNICODE(MID($B$883,23,1))</f>
        <v>0</v>
      </c>
      <c r="C906">
        <f>MOD(MOD(_xlfn.BITXOR(C905,B906),256)*16777216+_xlfn.BITXOR(C905,B906)*403,4294967296)</f>
        <v>0</v>
      </c>
    </row>
    <row r="907" spans="2:3">
      <c r="B907">
        <f>_xlfn.UNICODE(MID($B$883,24,1))</f>
        <v>0</v>
      </c>
      <c r="C907">
        <f>MOD(MOD(_xlfn.BITXOR(C906,B907),256)*16777216+_xlfn.BITXOR(C906,B907)*403,4294967296)</f>
        <v>0</v>
      </c>
    </row>
    <row r="908" spans="2:3">
      <c r="B908">
        <f>_xlfn.UNICODE(MID($B$883,25,1))</f>
        <v>0</v>
      </c>
      <c r="C908">
        <f>MOD(MOD(_xlfn.BITXOR(C907,B908),256)*16777216+_xlfn.BITXOR(C907,B908)*403,4294967296)</f>
        <v>0</v>
      </c>
    </row>
    <row r="909" spans="2:3">
      <c r="B909">
        <f>_xlfn.UNICODE(MID($B$883,26,1))</f>
        <v>0</v>
      </c>
      <c r="C909">
        <f>MOD(MOD(_xlfn.BITXOR(C908,B909),256)*16777216+_xlfn.BITXOR(C908,B909)*403,4294967296)</f>
        <v>0</v>
      </c>
    </row>
    <row r="910" spans="2:3">
      <c r="B910">
        <f>_xlfn.UNICODE(MID($B$883,27,1))</f>
        <v>0</v>
      </c>
      <c r="C910">
        <f>MOD(MOD(_xlfn.BITXOR(C909,B910),256)*16777216+_xlfn.BITXOR(C909,B910)*403,4294967296)</f>
        <v>0</v>
      </c>
    </row>
    <row r="911" spans="2:3">
      <c r="B911">
        <f>_xlfn.UNICODE(MID($B$883,28,1))</f>
        <v>0</v>
      </c>
      <c r="C911">
        <f>MOD(MOD(_xlfn.BITXOR(C910,B911),256)*16777216+_xlfn.BITXOR(C910,B911)*403,4294967296)</f>
        <v>0</v>
      </c>
    </row>
    <row r="912" spans="2:3">
      <c r="B912">
        <f>_xlfn.UNICODE(MID($B$883,29,1))</f>
        <v>0</v>
      </c>
      <c r="C912">
        <f>MOD(MOD(_xlfn.BITXOR(C911,B912),256)*16777216+_xlfn.BITXOR(C911,B912)*403,4294967296)</f>
        <v>0</v>
      </c>
    </row>
    <row r="913" spans="1:3">
      <c r="A913" t="s">
        <v>132</v>
      </c>
      <c r="B913">
        <f>"lve"&amp;Calcul!$B$82&amp;8</f>
        <v>0</v>
      </c>
    </row>
    <row r="914" spans="1:3">
      <c r="B914">
        <f>_xlfn.UNICODE(MID($B$913,1,1))</f>
        <v>0</v>
      </c>
      <c r="C914">
        <f>MOD(MOD(_xlfn.BITXOR(C912,B914),256)*16777216+_xlfn.BITXOR(C912,B914)*403,4294967296)</f>
        <v>0</v>
      </c>
    </row>
    <row r="915" spans="1:3">
      <c r="B915">
        <f>_xlfn.UNICODE(MID($B$913,2,1))</f>
        <v>0</v>
      </c>
      <c r="C915">
        <f>MOD(MOD(_xlfn.BITXOR(C914,B915),256)*16777216+_xlfn.BITXOR(C914,B915)*403,4294967296)</f>
        <v>0</v>
      </c>
    </row>
    <row r="916" spans="1:3">
      <c r="B916">
        <f>_xlfn.UNICODE(MID($B$913,3,1))</f>
        <v>0</v>
      </c>
      <c r="C916">
        <f>MOD(MOD(_xlfn.BITXOR(C915,B916),256)*16777216+_xlfn.BITXOR(C915,B916)*403,4294967296)</f>
        <v>0</v>
      </c>
    </row>
    <row r="917" spans="1:3">
      <c r="B917">
        <f>_xlfn.UNICODE(MID($B$913,4,1))</f>
        <v>0</v>
      </c>
      <c r="C917">
        <f>MOD(MOD(_xlfn.BITXOR(C916,B917),256)*16777216+_xlfn.BITXOR(C916,B917)*403,4294967296)</f>
        <v>0</v>
      </c>
    </row>
    <row r="918" spans="1:3">
      <c r="B918">
        <f>_xlfn.UNICODE(MID($B$913,5,1))</f>
        <v>0</v>
      </c>
      <c r="C918">
        <f>MOD(MOD(_xlfn.BITXOR(C917,B918),256)*16777216+_xlfn.BITXOR(C917,B918)*403,4294967296)</f>
        <v>0</v>
      </c>
    </row>
    <row r="919" spans="1:3">
      <c r="B919">
        <f>_xlfn.UNICODE(MID($B$913,6,1))</f>
        <v>0</v>
      </c>
      <c r="C919">
        <f>MOD(MOD(_xlfn.BITXOR(C918,B919),256)*16777216+_xlfn.BITXOR(C918,B919)*403,4294967296)</f>
        <v>0</v>
      </c>
    </row>
    <row r="920" spans="1:3">
      <c r="B920">
        <f>_xlfn.UNICODE(MID($B$913,7,1))</f>
        <v>0</v>
      </c>
      <c r="C920">
        <f>MOD(MOD(_xlfn.BITXOR(C919,B920),256)*16777216+_xlfn.BITXOR(C919,B920)*403,4294967296)</f>
        <v>0</v>
      </c>
    </row>
    <row r="921" spans="1:3">
      <c r="B921">
        <f>_xlfn.UNICODE(MID($B$913,8,1))</f>
        <v>0</v>
      </c>
      <c r="C921">
        <f>MOD(MOD(_xlfn.BITXOR(C920,B921),256)*16777216+_xlfn.BITXOR(C920,B921)*403,4294967296)</f>
        <v>0</v>
      </c>
    </row>
    <row r="922" spans="1:3">
      <c r="B922">
        <f>_xlfn.UNICODE(MID($B$913,9,1))</f>
        <v>0</v>
      </c>
      <c r="C922">
        <f>MOD(MOD(_xlfn.BITXOR(C921,B922),256)*16777216+_xlfn.BITXOR(C921,B922)*403,4294967296)</f>
        <v>0</v>
      </c>
    </row>
    <row r="923" spans="1:3">
      <c r="B923">
        <f>_xlfn.UNICODE(MID($B$913,10,1))</f>
        <v>0</v>
      </c>
      <c r="C923">
        <f>MOD(MOD(_xlfn.BITXOR(C922,B923),256)*16777216+_xlfn.BITXOR(C922,B923)*403,4294967296)</f>
        <v>0</v>
      </c>
    </row>
    <row r="924" spans="1:3">
      <c r="B924">
        <f>_xlfn.UNICODE(MID($B$913,11,1))</f>
        <v>0</v>
      </c>
      <c r="C924">
        <f>MOD(MOD(_xlfn.BITXOR(C923,B924),256)*16777216+_xlfn.BITXOR(C923,B924)*403,4294967296)</f>
        <v>0</v>
      </c>
    </row>
    <row r="925" spans="1:3">
      <c r="B925">
        <f>_xlfn.UNICODE(MID($B$913,12,1))</f>
        <v>0</v>
      </c>
      <c r="C925">
        <f>MOD(MOD(_xlfn.BITXOR(C924,B925),256)*16777216+_xlfn.BITXOR(C924,B925)*403,4294967296)</f>
        <v>0</v>
      </c>
    </row>
    <row r="926" spans="1:3">
      <c r="B926">
        <f>_xlfn.UNICODE(MID($B$913,13,1))</f>
        <v>0</v>
      </c>
      <c r="C926">
        <f>MOD(MOD(_xlfn.BITXOR(C925,B926),256)*16777216+_xlfn.BITXOR(C925,B926)*403,4294967296)</f>
        <v>0</v>
      </c>
    </row>
    <row r="927" spans="1:3">
      <c r="B927">
        <f>_xlfn.UNICODE(MID($B$913,14,1))</f>
        <v>0</v>
      </c>
      <c r="C927">
        <f>MOD(MOD(_xlfn.BITXOR(C926,B927),256)*16777216+_xlfn.BITXOR(C926,B927)*403,4294967296)</f>
        <v>0</v>
      </c>
    </row>
    <row r="928" spans="1:3">
      <c r="B928">
        <f>_xlfn.UNICODE(MID($B$913,15,1))</f>
        <v>0</v>
      </c>
      <c r="C928">
        <f>MOD(MOD(_xlfn.BITXOR(C927,B928),256)*16777216+_xlfn.BITXOR(C927,B928)*403,4294967296)</f>
        <v>0</v>
      </c>
    </row>
    <row r="929" spans="1:3">
      <c r="B929">
        <f>_xlfn.UNICODE(MID($B$913,16,1))</f>
        <v>0</v>
      </c>
      <c r="C929">
        <f>MOD(MOD(_xlfn.BITXOR(C928,B929),256)*16777216+_xlfn.BITXOR(C928,B929)*403,4294967296)</f>
        <v>0</v>
      </c>
    </row>
    <row r="930" spans="1:3">
      <c r="B930">
        <f>_xlfn.UNICODE(MID($B$913,17,1))</f>
        <v>0</v>
      </c>
      <c r="C930">
        <f>MOD(MOD(_xlfn.BITXOR(C929,B930),256)*16777216+_xlfn.BITXOR(C929,B930)*403,4294967296)</f>
        <v>0</v>
      </c>
    </row>
    <row r="931" spans="1:3">
      <c r="B931">
        <f>_xlfn.UNICODE(MID($B$913,18,1))</f>
        <v>0</v>
      </c>
      <c r="C931">
        <f>MOD(MOD(_xlfn.BITXOR(C930,B931),256)*16777216+_xlfn.BITXOR(C930,B931)*403,4294967296)</f>
        <v>0</v>
      </c>
    </row>
    <row r="932" spans="1:3">
      <c r="B932">
        <f>_xlfn.UNICODE(MID($B$913,19,1))</f>
        <v>0</v>
      </c>
      <c r="C932">
        <f>MOD(MOD(_xlfn.BITXOR(C931,B932),256)*16777216+_xlfn.BITXOR(C931,B932)*403,4294967296)</f>
        <v>0</v>
      </c>
    </row>
    <row r="933" spans="1:3">
      <c r="B933">
        <f>_xlfn.UNICODE(MID($B$913,20,1))</f>
        <v>0</v>
      </c>
      <c r="C933">
        <f>MOD(MOD(_xlfn.BITXOR(C932,B933),256)*16777216+_xlfn.BITXOR(C932,B933)*403,4294967296)</f>
        <v>0</v>
      </c>
    </row>
    <row r="934" spans="1:3">
      <c r="B934">
        <f>_xlfn.UNICODE(MID($B$913,21,1))</f>
        <v>0</v>
      </c>
      <c r="C934">
        <f>MOD(MOD(_xlfn.BITXOR(C933,B934),256)*16777216+_xlfn.BITXOR(C933,B934)*403,4294967296)</f>
        <v>0</v>
      </c>
    </row>
    <row r="935" spans="1:3">
      <c r="B935">
        <f>_xlfn.UNICODE(MID($B$913,22,1))</f>
        <v>0</v>
      </c>
      <c r="C935">
        <f>MOD(MOD(_xlfn.BITXOR(C934,B935),256)*16777216+_xlfn.BITXOR(C934,B935)*403,4294967296)</f>
        <v>0</v>
      </c>
    </row>
    <row r="936" spans="1:3">
      <c r="B936">
        <f>_xlfn.UNICODE(MID($B$913,23,1))</f>
        <v>0</v>
      </c>
      <c r="C936">
        <f>MOD(MOD(_xlfn.BITXOR(C935,B936),256)*16777216+_xlfn.BITXOR(C935,B936)*403,4294967296)</f>
        <v>0</v>
      </c>
    </row>
    <row r="937" spans="1:3">
      <c r="B937">
        <f>_xlfn.UNICODE(MID($B$913,24,1))</f>
        <v>0</v>
      </c>
      <c r="C937">
        <f>MOD(MOD(_xlfn.BITXOR(C936,B937),256)*16777216+_xlfn.BITXOR(C936,B937)*403,4294967296)</f>
        <v>0</v>
      </c>
    </row>
    <row r="938" spans="1:3">
      <c r="B938">
        <f>_xlfn.UNICODE(MID($B$913,25,1))</f>
        <v>0</v>
      </c>
      <c r="C938">
        <f>MOD(MOD(_xlfn.BITXOR(C937,B938),256)*16777216+_xlfn.BITXOR(C937,B938)*403,4294967296)</f>
        <v>0</v>
      </c>
    </row>
    <row r="939" spans="1:3">
      <c r="B939">
        <f>_xlfn.UNICODE(MID($B$913,26,1))</f>
        <v>0</v>
      </c>
      <c r="C939">
        <f>MOD(MOD(_xlfn.BITXOR(C938,B939),256)*16777216+_xlfn.BITXOR(C938,B939)*403,4294967296)</f>
        <v>0</v>
      </c>
    </row>
    <row r="940" spans="1:3">
      <c r="B940">
        <f>_xlfn.UNICODE(MID($B$913,27,1))</f>
        <v>0</v>
      </c>
      <c r="C940">
        <f>MOD(MOD(_xlfn.BITXOR(C939,B940),256)*16777216+_xlfn.BITXOR(C939,B940)*403,4294967296)</f>
        <v>0</v>
      </c>
    </row>
    <row r="941" spans="1:3">
      <c r="B941">
        <f>_xlfn.UNICODE(MID($B$913,28,1))</f>
        <v>0</v>
      </c>
      <c r="C941">
        <f>MOD(MOD(_xlfn.BITXOR(C940,B941),256)*16777216+_xlfn.BITXOR(C940,B941)*403,4294967296)</f>
        <v>0</v>
      </c>
    </row>
    <row r="942" spans="1:3">
      <c r="B942">
        <f>_xlfn.UNICODE(MID($B$913,29,1))</f>
        <v>0</v>
      </c>
      <c r="C942">
        <f>MOD(MOD(_xlfn.BITXOR(C941,B942),256)*16777216+_xlfn.BITXOR(C941,B942)*403,4294967296)</f>
        <v>0</v>
      </c>
    </row>
    <row r="943" spans="1:3">
      <c r="A943" t="s">
        <v>136</v>
      </c>
      <c r="B943">
        <f>LEFT(MID('Paramètres'!$D$2,MOD(C822,32)+1,1)&amp;MID('Paramètres'!$D$2,MOD(INT(C822/32),32)+1,1)&amp;MID('Paramètres'!$D$2,MOD(C852,32)+1,1)&amp;MID('Paramètres'!$D$2,MOD(INT(C852/32),32)+1,1)&amp;MID('Paramètres'!$D$2,MOD(C882,32)+1,1)&amp;MID('Paramètres'!$D$2,MOD(INT(C882/32),32)+1,1)&amp;MID('Paramètres'!$D$2,MOD(C912,32)+1,1)&amp;MID('Paramètres'!$D$2,MOD(INT(C912/32),32)+1,1)&amp;MID('Paramètres'!$D$2,MOD(C942,32)+1,1)&amp;MID('Paramètres'!$D$2,MOD(INT(C942/32),32)+1,1),10)</f>
        <v>0</v>
      </c>
    </row>
    <row r="945" spans="1:5">
      <c r="A945" t="s">
        <v>142</v>
      </c>
      <c r="B945">
        <f>IF(ISNUMBER(v_dep),v_dep+'Paramètres'!$B$2,"")</f>
        <v>0</v>
      </c>
      <c r="C945">
        <f>IF(Calcul!$B$945="","",RIGHT("0"&amp;DAY(Calcul!$B$945),2)&amp;"/"&amp;RIGHT("0"&amp;MONTH(Calcul!$B$945),2)&amp;"/"&amp;YEAR(Calcul!$B$945))</f>
        <v>0</v>
      </c>
      <c r="D945">
        <f>IF(Calcul!$B$945="","",CHOOSE(WEEKDAY(Calcul!$B$945),"dim.","lun.","mar.","mer.","jeu.","ven.","sam."))</f>
        <v>0</v>
      </c>
      <c r="E945">
        <f>IF(Calcul!$B$945="","",IF(COUNTIF('Paramètres'!$B$6:$B$247,Calcul!$B$945)&gt;0,"Férié",IF(WEEKDAY(Calcul!$B$945,2)&gt;5,"Week-end","")))</f>
        <v>0</v>
      </c>
    </row>
    <row r="946" spans="1:5">
      <c r="A946" t="s">
        <v>143</v>
      </c>
      <c r="B946">
        <f>IF(ISNUMBER(v_dep),v_dep+'Paramètres'!$B$3,"")</f>
        <v>0</v>
      </c>
      <c r="C946">
        <f>IF(Calcul!$B$946="","",RIGHT("0"&amp;DAY(Calcul!$B$946),2)&amp;"/"&amp;RIGHT("0"&amp;MONTH(Calcul!$B$946),2)&amp;"/"&amp;YEAR(Calcul!$B$946))</f>
        <v>0</v>
      </c>
      <c r="D946">
        <f>IF(Calcul!$B$946="","",CHOOSE(WEEKDAY(Calcul!$B$946),"dim.","lun.","mar.","mer.","jeu.","ven.","sam."))</f>
        <v>0</v>
      </c>
      <c r="E946">
        <f>IF(Calcul!$B$946="","",IF(COUNTIF('Paramètres'!$B$6:$B$247,Calcul!$B$946)&gt;0,"Férié",IF(WEEKDAY(Calcul!$B$946,2)&gt;5,"Week-end","")))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D247"/>
  <sheetViews>
    <sheetView showGridLines="0" workbookViewId="0"/>
  </sheetViews>
  <sheetFormatPr defaultRowHeight="15"/>
  <cols>
    <col min="1" max="1" width="34.7109375" customWidth="1"/>
    <col min="2" max="2" width="14.7109375" customWidth="1"/>
  </cols>
  <sheetData>
    <row r="1" spans="1:4">
      <c r="A1" s="7" t="s">
        <v>0</v>
      </c>
      <c r="D1" s="8" t="s">
        <v>4</v>
      </c>
    </row>
    <row r="2" spans="1:4">
      <c r="A2" s="9" t="s">
        <v>1</v>
      </c>
      <c r="B2" s="10">
        <v>30</v>
      </c>
      <c r="D2" s="11" t="s">
        <v>5</v>
      </c>
    </row>
    <row r="3" spans="1:4">
      <c r="A3" s="9" t="s">
        <v>2</v>
      </c>
      <c r="B3" s="10">
        <v>65</v>
      </c>
    </row>
    <row r="5" spans="1:4">
      <c r="A5" s="7" t="s">
        <v>3</v>
      </c>
    </row>
    <row r="6" spans="1:4">
      <c r="B6" s="12">
        <v>45292</v>
      </c>
    </row>
    <row r="7" spans="1:4">
      <c r="B7" s="12">
        <v>45383</v>
      </c>
    </row>
    <row r="8" spans="1:4">
      <c r="B8" s="12">
        <v>45413</v>
      </c>
    </row>
    <row r="9" spans="1:4">
      <c r="B9" s="12">
        <v>45420</v>
      </c>
    </row>
    <row r="10" spans="1:4">
      <c r="B10" s="12">
        <v>45421</v>
      </c>
    </row>
    <row r="11" spans="1:4">
      <c r="B11" s="12">
        <v>45432</v>
      </c>
    </row>
    <row r="12" spans="1:4">
      <c r="B12" s="12">
        <v>45487</v>
      </c>
    </row>
    <row r="13" spans="1:4">
      <c r="B13" s="12">
        <v>45519</v>
      </c>
    </row>
    <row r="14" spans="1:4">
      <c r="B14" s="12">
        <v>45597</v>
      </c>
    </row>
    <row r="15" spans="1:4">
      <c r="B15" s="12">
        <v>45607</v>
      </c>
    </row>
    <row r="16" spans="1:4">
      <c r="B16" s="12">
        <v>45651</v>
      </c>
    </row>
    <row r="17" spans="2:2">
      <c r="B17" s="12">
        <v>45658</v>
      </c>
    </row>
    <row r="18" spans="2:2">
      <c r="B18" s="12">
        <v>45768</v>
      </c>
    </row>
    <row r="19" spans="2:2">
      <c r="B19" s="12">
        <v>45778</v>
      </c>
    </row>
    <row r="20" spans="2:2">
      <c r="B20" s="12">
        <v>45785</v>
      </c>
    </row>
    <row r="21" spans="2:2">
      <c r="B21" s="12">
        <v>45806</v>
      </c>
    </row>
    <row r="22" spans="2:2">
      <c r="B22" s="12">
        <v>45817</v>
      </c>
    </row>
    <row r="23" spans="2:2">
      <c r="B23" s="12">
        <v>45852</v>
      </c>
    </row>
    <row r="24" spans="2:2">
      <c r="B24" s="12">
        <v>45884</v>
      </c>
    </row>
    <row r="25" spans="2:2">
      <c r="B25" s="12">
        <v>45962</v>
      </c>
    </row>
    <row r="26" spans="2:2">
      <c r="B26" s="12">
        <v>45972</v>
      </c>
    </row>
    <row r="27" spans="2:2">
      <c r="B27" s="12">
        <v>46016</v>
      </c>
    </row>
    <row r="28" spans="2:2">
      <c r="B28" s="12">
        <v>46023</v>
      </c>
    </row>
    <row r="29" spans="2:2">
      <c r="B29" s="12">
        <v>46118</v>
      </c>
    </row>
    <row r="30" spans="2:2">
      <c r="B30" s="12">
        <v>46143</v>
      </c>
    </row>
    <row r="31" spans="2:2">
      <c r="B31" s="12">
        <v>46150</v>
      </c>
    </row>
    <row r="32" spans="2:2">
      <c r="B32" s="12">
        <v>46156</v>
      </c>
    </row>
    <row r="33" spans="2:2">
      <c r="B33" s="12">
        <v>46167</v>
      </c>
    </row>
    <row r="34" spans="2:2">
      <c r="B34" s="12">
        <v>46217</v>
      </c>
    </row>
    <row r="35" spans="2:2">
      <c r="B35" s="12">
        <v>46249</v>
      </c>
    </row>
    <row r="36" spans="2:2">
      <c r="B36" s="12">
        <v>46327</v>
      </c>
    </row>
    <row r="37" spans="2:2">
      <c r="B37" s="12">
        <v>46337</v>
      </c>
    </row>
    <row r="38" spans="2:2">
      <c r="B38" s="12">
        <v>46381</v>
      </c>
    </row>
    <row r="39" spans="2:2">
      <c r="B39" s="12">
        <v>46388</v>
      </c>
    </row>
    <row r="40" spans="2:2">
      <c r="B40" s="12">
        <v>46475</v>
      </c>
    </row>
    <row r="41" spans="2:2">
      <c r="B41" s="12">
        <v>46508</v>
      </c>
    </row>
    <row r="42" spans="2:2">
      <c r="B42" s="12">
        <v>46515</v>
      </c>
    </row>
    <row r="43" spans="2:2">
      <c r="B43" s="12">
        <v>46513</v>
      </c>
    </row>
    <row r="44" spans="2:2">
      <c r="B44" s="12">
        <v>46524</v>
      </c>
    </row>
    <row r="45" spans="2:2">
      <c r="B45" s="12">
        <v>46582</v>
      </c>
    </row>
    <row r="46" spans="2:2">
      <c r="B46" s="12">
        <v>46614</v>
      </c>
    </row>
    <row r="47" spans="2:2">
      <c r="B47" s="12">
        <v>46692</v>
      </c>
    </row>
    <row r="48" spans="2:2">
      <c r="B48" s="12">
        <v>46702</v>
      </c>
    </row>
    <row r="49" spans="2:2">
      <c r="B49" s="12">
        <v>46746</v>
      </c>
    </row>
    <row r="50" spans="2:2">
      <c r="B50" s="12">
        <v>46753</v>
      </c>
    </row>
    <row r="51" spans="2:2">
      <c r="B51" s="12">
        <v>46860</v>
      </c>
    </row>
    <row r="52" spans="2:2">
      <c r="B52" s="12">
        <v>46874</v>
      </c>
    </row>
    <row r="53" spans="2:2">
      <c r="B53" s="12">
        <v>46881</v>
      </c>
    </row>
    <row r="54" spans="2:2">
      <c r="B54" s="12">
        <v>46898</v>
      </c>
    </row>
    <row r="55" spans="2:2">
      <c r="B55" s="12">
        <v>46909</v>
      </c>
    </row>
    <row r="56" spans="2:2">
      <c r="B56" s="12">
        <v>46948</v>
      </c>
    </row>
    <row r="57" spans="2:2">
      <c r="B57" s="12">
        <v>46980</v>
      </c>
    </row>
    <row r="58" spans="2:2">
      <c r="B58" s="12">
        <v>47058</v>
      </c>
    </row>
    <row r="59" spans="2:2">
      <c r="B59" s="12">
        <v>47068</v>
      </c>
    </row>
    <row r="60" spans="2:2">
      <c r="B60" s="12">
        <v>47112</v>
      </c>
    </row>
    <row r="61" spans="2:2">
      <c r="B61" s="12">
        <v>47119</v>
      </c>
    </row>
    <row r="62" spans="2:2">
      <c r="B62" s="12">
        <v>47210</v>
      </c>
    </row>
    <row r="63" spans="2:2">
      <c r="B63" s="12">
        <v>47239</v>
      </c>
    </row>
    <row r="64" spans="2:2">
      <c r="B64" s="12">
        <v>47246</v>
      </c>
    </row>
    <row r="65" spans="2:2">
      <c r="B65" s="12">
        <v>47248</v>
      </c>
    </row>
    <row r="66" spans="2:2">
      <c r="B66" s="12">
        <v>47259</v>
      </c>
    </row>
    <row r="67" spans="2:2">
      <c r="B67" s="12">
        <v>47313</v>
      </c>
    </row>
    <row r="68" spans="2:2">
      <c r="B68" s="12">
        <v>47345</v>
      </c>
    </row>
    <row r="69" spans="2:2">
      <c r="B69" s="12">
        <v>47423</v>
      </c>
    </row>
    <row r="70" spans="2:2">
      <c r="B70" s="12">
        <v>47433</v>
      </c>
    </row>
    <row r="71" spans="2:2">
      <c r="B71" s="12">
        <v>47477</v>
      </c>
    </row>
    <row r="72" spans="2:2">
      <c r="B72" s="12">
        <v>47484</v>
      </c>
    </row>
    <row r="73" spans="2:2">
      <c r="B73" s="12">
        <v>47595</v>
      </c>
    </row>
    <row r="74" spans="2:2">
      <c r="B74" s="12">
        <v>47604</v>
      </c>
    </row>
    <row r="75" spans="2:2">
      <c r="B75" s="12">
        <v>47611</v>
      </c>
    </row>
    <row r="76" spans="2:2">
      <c r="B76" s="12">
        <v>47633</v>
      </c>
    </row>
    <row r="77" spans="2:2">
      <c r="B77" s="12">
        <v>47644</v>
      </c>
    </row>
    <row r="78" spans="2:2">
      <c r="B78" s="12">
        <v>47678</v>
      </c>
    </row>
    <row r="79" spans="2:2">
      <c r="B79" s="12">
        <v>47710</v>
      </c>
    </row>
    <row r="80" spans="2:2">
      <c r="B80" s="12">
        <v>47788</v>
      </c>
    </row>
    <row r="81" spans="2:2">
      <c r="B81" s="12">
        <v>47798</v>
      </c>
    </row>
    <row r="82" spans="2:2">
      <c r="B82" s="12">
        <v>47842</v>
      </c>
    </row>
    <row r="83" spans="2:2">
      <c r="B83" s="12">
        <v>47849</v>
      </c>
    </row>
    <row r="84" spans="2:2">
      <c r="B84" s="12">
        <v>47952</v>
      </c>
    </row>
    <row r="85" spans="2:2">
      <c r="B85" s="12">
        <v>47969</v>
      </c>
    </row>
    <row r="86" spans="2:2">
      <c r="B86" s="12">
        <v>47976</v>
      </c>
    </row>
    <row r="87" spans="2:2">
      <c r="B87" s="12">
        <v>47990</v>
      </c>
    </row>
    <row r="88" spans="2:2">
      <c r="B88" s="12">
        <v>48001</v>
      </c>
    </row>
    <row r="89" spans="2:2">
      <c r="B89" s="12">
        <v>48043</v>
      </c>
    </row>
    <row r="90" spans="2:2">
      <c r="B90" s="12">
        <v>48075</v>
      </c>
    </row>
    <row r="91" spans="2:2">
      <c r="B91" s="12">
        <v>48153</v>
      </c>
    </row>
    <row r="92" spans="2:2">
      <c r="B92" s="12">
        <v>48163</v>
      </c>
    </row>
    <row r="93" spans="2:2">
      <c r="B93" s="12">
        <v>48207</v>
      </c>
    </row>
    <row r="94" spans="2:2">
      <c r="B94" s="12">
        <v>48214</v>
      </c>
    </row>
    <row r="95" spans="2:2">
      <c r="B95" s="12">
        <v>48302</v>
      </c>
    </row>
    <row r="96" spans="2:2">
      <c r="B96" s="12">
        <v>48335</v>
      </c>
    </row>
    <row r="97" spans="2:2">
      <c r="B97" s="12">
        <v>48342</v>
      </c>
    </row>
    <row r="98" spans="2:2">
      <c r="B98" s="12">
        <v>48340</v>
      </c>
    </row>
    <row r="99" spans="2:2">
      <c r="B99" s="12">
        <v>48351</v>
      </c>
    </row>
    <row r="100" spans="2:2">
      <c r="B100" s="12">
        <v>48409</v>
      </c>
    </row>
    <row r="101" spans="2:2">
      <c r="B101" s="12">
        <v>48441</v>
      </c>
    </row>
    <row r="102" spans="2:2">
      <c r="B102" s="12">
        <v>48519</v>
      </c>
    </row>
    <row r="103" spans="2:2">
      <c r="B103" s="12">
        <v>48529</v>
      </c>
    </row>
    <row r="104" spans="2:2">
      <c r="B104" s="12">
        <v>48573</v>
      </c>
    </row>
    <row r="105" spans="2:2">
      <c r="B105" s="12">
        <v>48580</v>
      </c>
    </row>
    <row r="106" spans="2:2">
      <c r="B106" s="12">
        <v>48687</v>
      </c>
    </row>
    <row r="107" spans="2:2">
      <c r="B107" s="12">
        <v>48700</v>
      </c>
    </row>
    <row r="108" spans="2:2">
      <c r="B108" s="12">
        <v>48707</v>
      </c>
    </row>
    <row r="109" spans="2:2">
      <c r="B109" s="12">
        <v>48725</v>
      </c>
    </row>
    <row r="110" spans="2:2">
      <c r="B110" s="12">
        <v>48736</v>
      </c>
    </row>
    <row r="111" spans="2:2">
      <c r="B111" s="12">
        <v>48774</v>
      </c>
    </row>
    <row r="112" spans="2:2">
      <c r="B112" s="12">
        <v>48806</v>
      </c>
    </row>
    <row r="113" spans="2:2">
      <c r="B113" s="12">
        <v>48884</v>
      </c>
    </row>
    <row r="114" spans="2:2">
      <c r="B114" s="12">
        <v>48894</v>
      </c>
    </row>
    <row r="115" spans="2:2">
      <c r="B115" s="12">
        <v>48938</v>
      </c>
    </row>
    <row r="116" spans="2:2">
      <c r="B116" s="12">
        <v>48945</v>
      </c>
    </row>
    <row r="117" spans="2:2">
      <c r="B117" s="12">
        <v>49044</v>
      </c>
    </row>
    <row r="118" spans="2:2">
      <c r="B118" s="12">
        <v>49065</v>
      </c>
    </row>
    <row r="119" spans="2:2">
      <c r="B119" s="12">
        <v>49072</v>
      </c>
    </row>
    <row r="120" spans="2:2">
      <c r="B120" s="12">
        <v>49082</v>
      </c>
    </row>
    <row r="121" spans="2:2">
      <c r="B121" s="12">
        <v>49093</v>
      </c>
    </row>
    <row r="122" spans="2:2">
      <c r="B122" s="12">
        <v>49139</v>
      </c>
    </row>
    <row r="123" spans="2:2">
      <c r="B123" s="12">
        <v>49171</v>
      </c>
    </row>
    <row r="124" spans="2:2">
      <c r="B124" s="12">
        <v>49249</v>
      </c>
    </row>
    <row r="125" spans="2:2">
      <c r="B125" s="12">
        <v>49259</v>
      </c>
    </row>
    <row r="126" spans="2:2">
      <c r="B126" s="12">
        <v>49303</v>
      </c>
    </row>
    <row r="127" spans="2:2">
      <c r="B127" s="12">
        <v>49310</v>
      </c>
    </row>
    <row r="128" spans="2:2">
      <c r="B128" s="12">
        <v>49394</v>
      </c>
    </row>
    <row r="129" spans="2:2">
      <c r="B129" s="12">
        <v>49430</v>
      </c>
    </row>
    <row r="130" spans="2:2">
      <c r="B130" s="12">
        <v>49437</v>
      </c>
    </row>
    <row r="131" spans="2:2">
      <c r="B131" s="12">
        <v>49432</v>
      </c>
    </row>
    <row r="132" spans="2:2">
      <c r="B132" s="12">
        <v>49443</v>
      </c>
    </row>
    <row r="133" spans="2:2">
      <c r="B133" s="12">
        <v>49504</v>
      </c>
    </row>
    <row r="134" spans="2:2">
      <c r="B134" s="12">
        <v>49536</v>
      </c>
    </row>
    <row r="135" spans="2:2">
      <c r="B135" s="12">
        <v>49614</v>
      </c>
    </row>
    <row r="136" spans="2:2">
      <c r="B136" s="12">
        <v>49624</v>
      </c>
    </row>
    <row r="137" spans="2:2">
      <c r="B137" s="12">
        <v>49668</v>
      </c>
    </row>
    <row r="138" spans="2:2">
      <c r="B138" s="12">
        <v>49675</v>
      </c>
    </row>
    <row r="139" spans="2:2">
      <c r="B139" s="12">
        <v>49779</v>
      </c>
    </row>
    <row r="140" spans="2:2">
      <c r="B140" s="12">
        <v>49796</v>
      </c>
    </row>
    <row r="141" spans="2:2">
      <c r="B141" s="12">
        <v>49803</v>
      </c>
    </row>
    <row r="142" spans="2:2">
      <c r="B142" s="12">
        <v>49817</v>
      </c>
    </row>
    <row r="143" spans="2:2">
      <c r="B143" s="12">
        <v>49828</v>
      </c>
    </row>
    <row r="144" spans="2:2">
      <c r="B144" s="12">
        <v>49870</v>
      </c>
    </row>
    <row r="145" spans="2:2">
      <c r="B145" s="12">
        <v>49902</v>
      </c>
    </row>
    <row r="146" spans="2:2">
      <c r="B146" s="12">
        <v>49980</v>
      </c>
    </row>
    <row r="147" spans="2:2">
      <c r="B147" s="12">
        <v>49990</v>
      </c>
    </row>
    <row r="148" spans="2:2">
      <c r="B148" s="12">
        <v>50034</v>
      </c>
    </row>
    <row r="149" spans="2:2">
      <c r="B149" s="12">
        <v>50041</v>
      </c>
    </row>
    <row r="150" spans="2:2">
      <c r="B150" s="12">
        <v>50136</v>
      </c>
    </row>
    <row r="151" spans="2:2">
      <c r="B151" s="12">
        <v>50161</v>
      </c>
    </row>
    <row r="152" spans="2:2">
      <c r="B152" s="12">
        <v>50168</v>
      </c>
    </row>
    <row r="153" spans="2:2">
      <c r="B153" s="12">
        <v>50174</v>
      </c>
    </row>
    <row r="154" spans="2:2">
      <c r="B154" s="12">
        <v>50185</v>
      </c>
    </row>
    <row r="155" spans="2:2">
      <c r="B155" s="12">
        <v>50235</v>
      </c>
    </row>
    <row r="156" spans="2:2">
      <c r="B156" s="12">
        <v>50267</v>
      </c>
    </row>
    <row r="157" spans="2:2">
      <c r="B157" s="12">
        <v>50345</v>
      </c>
    </row>
    <row r="158" spans="2:2">
      <c r="B158" s="12">
        <v>50355</v>
      </c>
    </row>
    <row r="159" spans="2:2">
      <c r="B159" s="12">
        <v>50399</v>
      </c>
    </row>
    <row r="160" spans="2:2">
      <c r="B160" s="12">
        <v>50406</v>
      </c>
    </row>
    <row r="161" spans="2:2">
      <c r="B161" s="12">
        <v>50521</v>
      </c>
    </row>
    <row r="162" spans="2:2">
      <c r="B162" s="12">
        <v>50526</v>
      </c>
    </row>
    <row r="163" spans="2:2">
      <c r="B163" s="12">
        <v>50533</v>
      </c>
    </row>
    <row r="164" spans="2:2">
      <c r="B164" s="12">
        <v>50559</v>
      </c>
    </row>
    <row r="165" spans="2:2">
      <c r="B165" s="12">
        <v>50570</v>
      </c>
    </row>
    <row r="166" spans="2:2">
      <c r="B166" s="12">
        <v>50600</v>
      </c>
    </row>
    <row r="167" spans="2:2">
      <c r="B167" s="12">
        <v>50632</v>
      </c>
    </row>
    <row r="168" spans="2:2">
      <c r="B168" s="12">
        <v>50710</v>
      </c>
    </row>
    <row r="169" spans="2:2">
      <c r="B169" s="12">
        <v>50720</v>
      </c>
    </row>
    <row r="170" spans="2:2">
      <c r="B170" s="12">
        <v>50764</v>
      </c>
    </row>
    <row r="171" spans="2:2">
      <c r="B171" s="12">
        <v>50771</v>
      </c>
    </row>
    <row r="172" spans="2:2">
      <c r="B172" s="12">
        <v>50871</v>
      </c>
    </row>
    <row r="173" spans="2:2">
      <c r="B173" s="12">
        <v>50891</v>
      </c>
    </row>
    <row r="174" spans="2:2">
      <c r="B174" s="12">
        <v>50898</v>
      </c>
    </row>
    <row r="175" spans="2:2">
      <c r="B175" s="12">
        <v>50909</v>
      </c>
    </row>
    <row r="176" spans="2:2">
      <c r="B176" s="12">
        <v>50920</v>
      </c>
    </row>
    <row r="177" spans="2:2">
      <c r="B177" s="12">
        <v>50965</v>
      </c>
    </row>
    <row r="178" spans="2:2">
      <c r="B178" s="12">
        <v>50997</v>
      </c>
    </row>
    <row r="179" spans="2:2">
      <c r="B179" s="12">
        <v>51075</v>
      </c>
    </row>
    <row r="180" spans="2:2">
      <c r="B180" s="12">
        <v>51085</v>
      </c>
    </row>
    <row r="181" spans="2:2">
      <c r="B181" s="12">
        <v>51129</v>
      </c>
    </row>
    <row r="182" spans="2:2">
      <c r="B182" s="12">
        <v>51136</v>
      </c>
    </row>
    <row r="183" spans="2:2">
      <c r="B183" s="12">
        <v>51228</v>
      </c>
    </row>
    <row r="184" spans="2:2">
      <c r="B184" s="12">
        <v>51257</v>
      </c>
    </row>
    <row r="185" spans="2:2">
      <c r="B185" s="12">
        <v>51264</v>
      </c>
    </row>
    <row r="186" spans="2:2">
      <c r="B186" s="12">
        <v>51266</v>
      </c>
    </row>
    <row r="187" spans="2:2">
      <c r="B187" s="12">
        <v>51277</v>
      </c>
    </row>
    <row r="188" spans="2:2">
      <c r="B188" s="12">
        <v>51331</v>
      </c>
    </row>
    <row r="189" spans="2:2">
      <c r="B189" s="12">
        <v>51363</v>
      </c>
    </row>
    <row r="190" spans="2:2">
      <c r="B190" s="12">
        <v>51441</v>
      </c>
    </row>
    <row r="191" spans="2:2">
      <c r="B191" s="12">
        <v>51451</v>
      </c>
    </row>
    <row r="192" spans="2:2">
      <c r="B192" s="12">
        <v>51495</v>
      </c>
    </row>
    <row r="193" spans="2:2">
      <c r="B193" s="12">
        <v>51502</v>
      </c>
    </row>
    <row r="194" spans="2:2">
      <c r="B194" s="12">
        <v>51613</v>
      </c>
    </row>
    <row r="195" spans="2:2">
      <c r="B195" s="12">
        <v>51622</v>
      </c>
    </row>
    <row r="196" spans="2:2">
      <c r="B196" s="12">
        <v>51629</v>
      </c>
    </row>
    <row r="197" spans="2:2">
      <c r="B197" s="12">
        <v>51651</v>
      </c>
    </row>
    <row r="198" spans="2:2">
      <c r="B198" s="12">
        <v>51662</v>
      </c>
    </row>
    <row r="199" spans="2:2">
      <c r="B199" s="12">
        <v>51696</v>
      </c>
    </row>
    <row r="200" spans="2:2">
      <c r="B200" s="12">
        <v>51728</v>
      </c>
    </row>
    <row r="201" spans="2:2">
      <c r="B201" s="12">
        <v>51806</v>
      </c>
    </row>
    <row r="202" spans="2:2">
      <c r="B202" s="12">
        <v>51816</v>
      </c>
    </row>
    <row r="203" spans="2:2">
      <c r="B203" s="12">
        <v>51860</v>
      </c>
    </row>
    <row r="204" spans="2:2">
      <c r="B204" s="12">
        <v>51867</v>
      </c>
    </row>
    <row r="205" spans="2:2">
      <c r="B205" s="12">
        <v>51963</v>
      </c>
    </row>
    <row r="206" spans="2:2">
      <c r="B206" s="12">
        <v>51987</v>
      </c>
    </row>
    <row r="207" spans="2:2">
      <c r="B207" s="12">
        <v>51994</v>
      </c>
    </row>
    <row r="208" spans="2:2">
      <c r="B208" s="12">
        <v>52001</v>
      </c>
    </row>
    <row r="209" spans="2:2">
      <c r="B209" s="12">
        <v>52012</v>
      </c>
    </row>
    <row r="210" spans="2:2">
      <c r="B210" s="12">
        <v>52061</v>
      </c>
    </row>
    <row r="211" spans="2:2">
      <c r="B211" s="12">
        <v>52093</v>
      </c>
    </row>
    <row r="212" spans="2:2">
      <c r="B212" s="12">
        <v>52171</v>
      </c>
    </row>
    <row r="213" spans="2:2">
      <c r="B213" s="12">
        <v>52181</v>
      </c>
    </row>
    <row r="214" spans="2:2">
      <c r="B214" s="12">
        <v>52225</v>
      </c>
    </row>
    <row r="215" spans="2:2">
      <c r="B215" s="12">
        <v>52232</v>
      </c>
    </row>
    <row r="216" spans="2:2">
      <c r="B216" s="12">
        <v>52320</v>
      </c>
    </row>
    <row r="217" spans="2:2">
      <c r="B217" s="12">
        <v>52352</v>
      </c>
    </row>
    <row r="218" spans="2:2">
      <c r="B218" s="12">
        <v>52359</v>
      </c>
    </row>
    <row r="219" spans="2:2">
      <c r="B219" s="12">
        <v>52358</v>
      </c>
    </row>
    <row r="220" spans="2:2">
      <c r="B220" s="12">
        <v>52369</v>
      </c>
    </row>
    <row r="221" spans="2:2">
      <c r="B221" s="12">
        <v>52426</v>
      </c>
    </row>
    <row r="222" spans="2:2">
      <c r="B222" s="12">
        <v>52458</v>
      </c>
    </row>
    <row r="223" spans="2:2">
      <c r="B223" s="12">
        <v>52536</v>
      </c>
    </row>
    <row r="224" spans="2:2">
      <c r="B224" s="12">
        <v>52546</v>
      </c>
    </row>
    <row r="225" spans="2:2">
      <c r="B225" s="12">
        <v>52590</v>
      </c>
    </row>
    <row r="226" spans="2:2">
      <c r="B226" s="12">
        <v>52597</v>
      </c>
    </row>
    <row r="227" spans="2:2">
      <c r="B227" s="12">
        <v>52705</v>
      </c>
    </row>
    <row r="228" spans="2:2">
      <c r="B228" s="12">
        <v>52718</v>
      </c>
    </row>
    <row r="229" spans="2:2">
      <c r="B229" s="12">
        <v>52725</v>
      </c>
    </row>
    <row r="230" spans="2:2">
      <c r="B230" s="12">
        <v>52743</v>
      </c>
    </row>
    <row r="231" spans="2:2">
      <c r="B231" s="12">
        <v>52754</v>
      </c>
    </row>
    <row r="232" spans="2:2">
      <c r="B232" s="12">
        <v>52792</v>
      </c>
    </row>
    <row r="233" spans="2:2">
      <c r="B233" s="12">
        <v>52824</v>
      </c>
    </row>
    <row r="234" spans="2:2">
      <c r="B234" s="12">
        <v>52902</v>
      </c>
    </row>
    <row r="235" spans="2:2">
      <c r="B235" s="12">
        <v>52912</v>
      </c>
    </row>
    <row r="236" spans="2:2">
      <c r="B236" s="12">
        <v>52956</v>
      </c>
    </row>
    <row r="237" spans="2:2">
      <c r="B237" s="12">
        <v>52963</v>
      </c>
    </row>
    <row r="238" spans="2:2">
      <c r="B238" s="12">
        <v>53062</v>
      </c>
    </row>
    <row r="239" spans="2:2">
      <c r="B239" s="12">
        <v>53083</v>
      </c>
    </row>
    <row r="240" spans="2:2">
      <c r="B240" s="12">
        <v>53090</v>
      </c>
    </row>
    <row r="241" spans="2:2">
      <c r="B241" s="12">
        <v>53100</v>
      </c>
    </row>
    <row r="242" spans="2:2">
      <c r="B242" s="12">
        <v>53111</v>
      </c>
    </row>
    <row r="243" spans="2:2">
      <c r="B243" s="12">
        <v>53157</v>
      </c>
    </row>
    <row r="244" spans="2:2">
      <c r="B244" s="12">
        <v>53189</v>
      </c>
    </row>
    <row r="245" spans="2:2">
      <c r="B245" s="12">
        <v>53267</v>
      </c>
    </row>
    <row r="246" spans="2:2">
      <c r="B246" s="12">
        <v>53277</v>
      </c>
    </row>
    <row r="247" spans="2:2">
      <c r="B247" s="12">
        <v>53321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BN297"/>
  <sheetViews>
    <sheetView workbookViewId="0"/>
  </sheetViews>
  <sheetFormatPr defaultRowHeight="15"/>
  <sheetData>
    <row r="1" spans="1:66">
      <c r="A1" t="s">
        <v>155</v>
      </c>
      <c r="B1" t="s">
        <v>144</v>
      </c>
      <c r="C1" t="s">
        <v>156</v>
      </c>
      <c r="D1" t="s">
        <v>157</v>
      </c>
      <c r="E1" t="s">
        <v>158</v>
      </c>
      <c r="F1" t="s">
        <v>145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109</v>
      </c>
      <c r="Q1" t="s">
        <v>168</v>
      </c>
      <c r="R1" t="s">
        <v>169</v>
      </c>
      <c r="S1" t="s">
        <v>112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H1" t="s">
        <v>169</v>
      </c>
      <c r="AI1" t="s">
        <v>636</v>
      </c>
      <c r="AJ1" t="s">
        <v>637</v>
      </c>
      <c r="AK1" t="s">
        <v>638</v>
      </c>
      <c r="AL1" t="s">
        <v>639</v>
      </c>
      <c r="AM1" t="s">
        <v>640</v>
      </c>
      <c r="AN1" t="s">
        <v>641</v>
      </c>
      <c r="AO1" t="s">
        <v>642</v>
      </c>
      <c r="AP1" t="s">
        <v>643</v>
      </c>
      <c r="AQ1" t="s">
        <v>644</v>
      </c>
      <c r="AR1" t="s">
        <v>645</v>
      </c>
      <c r="AU1" t="s">
        <v>700</v>
      </c>
      <c r="BI1" t="s">
        <v>144</v>
      </c>
      <c r="BJ1" t="s">
        <v>6</v>
      </c>
      <c r="BK1" t="s">
        <v>145</v>
      </c>
      <c r="BL1" t="s">
        <v>146</v>
      </c>
      <c r="BM1" t="s">
        <v>147</v>
      </c>
      <c r="BN1" t="s">
        <v>148</v>
      </c>
    </row>
    <row r="2" spans="1:66">
      <c r="A2" t="s">
        <v>182</v>
      </c>
      <c r="B2" t="s">
        <v>183</v>
      </c>
      <c r="C2">
        <v>18</v>
      </c>
      <c r="D2">
        <v>9</v>
      </c>
      <c r="E2">
        <v>1080</v>
      </c>
      <c r="F2">
        <v>44</v>
      </c>
      <c r="G2">
        <v>22</v>
      </c>
      <c r="H2" t="s">
        <v>184</v>
      </c>
      <c r="I2">
        <v>19</v>
      </c>
      <c r="J2">
        <v>1</v>
      </c>
      <c r="K2" t="s">
        <v>185</v>
      </c>
      <c r="M2" t="s">
        <v>186</v>
      </c>
      <c r="P2" t="s">
        <v>187</v>
      </c>
      <c r="R2" t="s">
        <v>182</v>
      </c>
      <c r="AH2" t="s">
        <v>189</v>
      </c>
      <c r="AI2" t="s">
        <v>646</v>
      </c>
      <c r="AJ2">
        <v>0</v>
      </c>
      <c r="AL2">
        <v>0</v>
      </c>
      <c r="AM2">
        <v>0</v>
      </c>
      <c r="AO2">
        <v>0</v>
      </c>
      <c r="AP2" t="s">
        <v>647</v>
      </c>
      <c r="AR2">
        <v>0</v>
      </c>
      <c r="AU2" t="s">
        <v>701</v>
      </c>
      <c r="AV2">
        <v>1116</v>
      </c>
      <c r="BI2" t="s">
        <v>149</v>
      </c>
      <c r="BJ2" t="s">
        <v>20</v>
      </c>
      <c r="BK2">
        <v>6</v>
      </c>
      <c r="BL2">
        <f>TRUE</f>
        <v>0</v>
      </c>
      <c r="BM2">
        <f>IF(BL2,BK2,0)</f>
        <v>0</v>
      </c>
      <c r="BN2">
        <v>103</v>
      </c>
    </row>
    <row r="3" spans="1:66">
      <c r="A3" t="s">
        <v>188</v>
      </c>
      <c r="B3" t="s">
        <v>183</v>
      </c>
      <c r="C3">
        <v>18</v>
      </c>
      <c r="D3">
        <v>63</v>
      </c>
      <c r="E3">
        <v>531</v>
      </c>
      <c r="F3">
        <v>400</v>
      </c>
      <c r="G3">
        <v>22</v>
      </c>
      <c r="H3" t="s">
        <v>184</v>
      </c>
      <c r="R3" t="s">
        <v>189</v>
      </c>
      <c r="Z3">
        <f>Rendu!$BN$61+Rendu!$BM$61+16-63</f>
        <v>0</v>
      </c>
      <c r="AH3" t="s">
        <v>648</v>
      </c>
      <c r="AI3" t="s">
        <v>649</v>
      </c>
      <c r="AJ3">
        <v>0</v>
      </c>
      <c r="AL3">
        <v>0</v>
      </c>
      <c r="AM3">
        <v>0</v>
      </c>
      <c r="AO3">
        <v>0</v>
      </c>
      <c r="AP3" t="s">
        <v>647</v>
      </c>
      <c r="AR3">
        <v>0</v>
      </c>
      <c r="AU3" t="s">
        <v>702</v>
      </c>
      <c r="AV3">
        <v>791</v>
      </c>
      <c r="BI3" t="s">
        <v>150</v>
      </c>
      <c r="BJ3" t="s">
        <v>20</v>
      </c>
      <c r="BK3">
        <v>38</v>
      </c>
      <c r="BL3">
        <f>TRUE</f>
        <v>0</v>
      </c>
      <c r="BM3">
        <f>IF(BL3,BK3,0)</f>
        <v>0</v>
      </c>
      <c r="BN3">
        <f>BN2+BM2</f>
        <v>0</v>
      </c>
    </row>
    <row r="4" spans="1:66">
      <c r="A4" t="s">
        <v>190</v>
      </c>
      <c r="B4" t="s">
        <v>109</v>
      </c>
      <c r="C4">
        <v>38</v>
      </c>
      <c r="D4">
        <v>77</v>
      </c>
      <c r="E4">
        <v>200</v>
      </c>
      <c r="F4">
        <v>16</v>
      </c>
      <c r="H4" t="s">
        <v>184</v>
      </c>
      <c r="I4">
        <v>10</v>
      </c>
      <c r="J4">
        <v>1</v>
      </c>
      <c r="K4" t="s">
        <v>185</v>
      </c>
      <c r="L4" t="s">
        <v>191</v>
      </c>
      <c r="M4" t="s">
        <v>192</v>
      </c>
      <c r="O4">
        <v>1</v>
      </c>
      <c r="P4" t="s">
        <v>193</v>
      </c>
      <c r="R4" t="s">
        <v>194</v>
      </c>
      <c r="AH4" t="s">
        <v>388</v>
      </c>
      <c r="AI4" t="s">
        <v>646</v>
      </c>
      <c r="AJ4">
        <v>0</v>
      </c>
      <c r="AL4">
        <v>0</v>
      </c>
      <c r="AM4">
        <v>0</v>
      </c>
      <c r="AO4">
        <v>0</v>
      </c>
      <c r="AR4">
        <v>0</v>
      </c>
      <c r="AU4" t="s">
        <v>703</v>
      </c>
      <c r="AV4" t="s">
        <v>646</v>
      </c>
      <c r="BI4" t="s">
        <v>151</v>
      </c>
      <c r="BJ4" t="s">
        <v>23</v>
      </c>
      <c r="BK4">
        <v>30</v>
      </c>
      <c r="BL4">
        <f>NOT(OR(Calcul!$G$2,Calcul!$I$43))</f>
        <v>0</v>
      </c>
      <c r="BM4">
        <f>IF(BL4,BK4,0)</f>
        <v>0</v>
      </c>
      <c r="BN4">
        <f>BN3+BM3</f>
        <v>0</v>
      </c>
    </row>
    <row r="5" spans="1:66">
      <c r="A5" t="s">
        <v>195</v>
      </c>
      <c r="B5" t="s">
        <v>183</v>
      </c>
      <c r="C5">
        <v>489</v>
      </c>
      <c r="D5">
        <v>76</v>
      </c>
      <c r="E5">
        <v>40</v>
      </c>
      <c r="F5">
        <v>18</v>
      </c>
      <c r="G5">
        <v>9</v>
      </c>
      <c r="H5" t="s">
        <v>184</v>
      </c>
      <c r="I5">
        <v>9.5</v>
      </c>
      <c r="J5">
        <v>1</v>
      </c>
      <c r="K5" t="s">
        <v>196</v>
      </c>
      <c r="M5" t="s">
        <v>197</v>
      </c>
      <c r="R5" t="s">
        <v>198</v>
      </c>
      <c r="T5">
        <v>529</v>
      </c>
      <c r="U5">
        <v>1</v>
      </c>
      <c r="V5">
        <f>COUNTIF(Calcul!$K$43:$K$49,TRUE)&amp;" / 7"</f>
        <v>0</v>
      </c>
      <c r="W5">
        <f>IF(COUNTIF(Calcul!$K$43:$K$49,TRUE)=7,"tag_ok",IF(COUNTIF(Calcul!$K$43:$K$49,TRUE)&gt;0,"tag_run","tag_none"))</f>
        <v>0</v>
      </c>
      <c r="AH5" t="s">
        <v>385</v>
      </c>
      <c r="AI5" t="s">
        <v>646</v>
      </c>
      <c r="AJ5">
        <v>0</v>
      </c>
      <c r="AL5">
        <v>0</v>
      </c>
      <c r="AM5">
        <v>0</v>
      </c>
      <c r="AO5">
        <v>0</v>
      </c>
      <c r="AP5" t="s">
        <v>647</v>
      </c>
      <c r="AR5">
        <v>0</v>
      </c>
      <c r="AU5" t="s">
        <v>704</v>
      </c>
      <c r="AV5" t="s">
        <v>656</v>
      </c>
      <c r="BI5" t="s">
        <v>151</v>
      </c>
      <c r="BJ5" t="s">
        <v>25</v>
      </c>
      <c r="BK5">
        <v>30</v>
      </c>
      <c r="BL5">
        <f>NOT(OR(Calcul!$G$2,Calcul!$I$43))</f>
        <v>0</v>
      </c>
      <c r="BM5">
        <f>IF(BL5,BK5,0)</f>
        <v>0</v>
      </c>
      <c r="BN5">
        <f>BN4+BM4</f>
        <v>0</v>
      </c>
    </row>
    <row r="6" spans="1:66">
      <c r="A6" t="s">
        <v>199</v>
      </c>
      <c r="B6" t="s">
        <v>183</v>
      </c>
      <c r="C6">
        <v>32</v>
      </c>
      <c r="D6">
        <v>103</v>
      </c>
      <c r="E6">
        <v>503</v>
      </c>
      <c r="F6">
        <v>50</v>
      </c>
      <c r="G6">
        <v>16</v>
      </c>
      <c r="H6" t="s">
        <v>184</v>
      </c>
      <c r="R6" t="s">
        <v>200</v>
      </c>
      <c r="W6">
        <f>IF(Calcul!$B$52=1,"grp_actif","grp")</f>
        <v>0</v>
      </c>
      <c r="Y6">
        <f>Rendu!$BN$2</f>
        <v>0</v>
      </c>
      <c r="Z6">
        <f>SUM(Rendu!$BM$2:Rendu!$BM$8)</f>
        <v>0</v>
      </c>
      <c r="AH6" t="s">
        <v>182</v>
      </c>
      <c r="AI6" t="s">
        <v>650</v>
      </c>
      <c r="AJ6">
        <v>0</v>
      </c>
      <c r="AL6">
        <v>0</v>
      </c>
      <c r="AM6">
        <v>0</v>
      </c>
      <c r="AN6" t="s">
        <v>651</v>
      </c>
      <c r="AO6">
        <v>0</v>
      </c>
      <c r="AP6" t="s">
        <v>652</v>
      </c>
      <c r="AR6">
        <v>0</v>
      </c>
      <c r="BI6" t="s">
        <v>151</v>
      </c>
      <c r="BJ6" t="s">
        <v>27</v>
      </c>
      <c r="BK6">
        <v>30</v>
      </c>
      <c r="BL6">
        <f>NOT(OR(Calcul!$G$2,Calcul!$I$43))</f>
        <v>0</v>
      </c>
      <c r="BM6">
        <f>IF(BL6,BK6,0)</f>
        <v>0</v>
      </c>
      <c r="BN6">
        <f>BN5+BM5</f>
        <v>0</v>
      </c>
    </row>
    <row r="7" spans="1:66">
      <c r="A7" t="s">
        <v>201</v>
      </c>
      <c r="B7" t="s">
        <v>202</v>
      </c>
      <c r="C7">
        <v>54</v>
      </c>
      <c r="D7">
        <v>103</v>
      </c>
      <c r="E7">
        <v>0</v>
      </c>
      <c r="F7">
        <v>40</v>
      </c>
      <c r="H7" t="s">
        <v>184</v>
      </c>
      <c r="R7" t="s">
        <v>202</v>
      </c>
      <c r="X7">
        <f>NOT(OR(Calcul!$G$2,Calcul!$I$43))</f>
        <v>0</v>
      </c>
      <c r="Y7">
        <f>Rendu!$BN$4+2</f>
        <v>0</v>
      </c>
      <c r="Z7">
        <f>Rendu!$BN$8-Rendu!$BN$4-6</f>
        <v>0</v>
      </c>
      <c r="AH7" t="s">
        <v>194</v>
      </c>
      <c r="AJ7">
        <v>0</v>
      </c>
      <c r="AL7">
        <v>0</v>
      </c>
      <c r="AM7">
        <v>0</v>
      </c>
      <c r="AN7" t="s">
        <v>653</v>
      </c>
      <c r="AO7">
        <v>0</v>
      </c>
      <c r="AR7">
        <v>0</v>
      </c>
      <c r="BI7" t="s">
        <v>151</v>
      </c>
      <c r="BJ7" t="s">
        <v>29</v>
      </c>
      <c r="BK7">
        <v>30</v>
      </c>
      <c r="BL7">
        <f>NOT(OR(Calcul!$G$2,Calcul!$I$43))</f>
        <v>0</v>
      </c>
      <c r="BM7">
        <f>IF(BL7,BK7,0)</f>
        <v>0</v>
      </c>
      <c r="BN7">
        <f>BN6+BM6</f>
        <v>0</v>
      </c>
    </row>
    <row r="8" spans="1:66">
      <c r="A8" t="s">
        <v>203</v>
      </c>
      <c r="B8" t="s">
        <v>183</v>
      </c>
      <c r="C8">
        <v>42</v>
      </c>
      <c r="D8">
        <v>0</v>
      </c>
      <c r="E8">
        <v>26</v>
      </c>
      <c r="F8">
        <v>26</v>
      </c>
      <c r="G8">
        <v>9</v>
      </c>
      <c r="H8" t="s">
        <v>184</v>
      </c>
      <c r="I8">
        <v>13</v>
      </c>
      <c r="K8" t="s">
        <v>196</v>
      </c>
      <c r="P8" t="s">
        <v>204</v>
      </c>
      <c r="R8" t="s">
        <v>205</v>
      </c>
      <c r="S8" t="s">
        <v>206</v>
      </c>
      <c r="V8">
        <f>IF(OR(Calcul!$G$2,Calcul!$I$43),"▸","▾")</f>
        <v>0</v>
      </c>
      <c r="W8">
        <f>IF(Calcul!$I$43,"chev_lock","chev")</f>
        <v>0</v>
      </c>
      <c r="Y8">
        <f>Rendu!$BN$3+6</f>
        <v>0</v>
      </c>
      <c r="AH8" t="s">
        <v>654</v>
      </c>
      <c r="AJ8">
        <v>0</v>
      </c>
      <c r="AL8">
        <v>0</v>
      </c>
      <c r="AM8">
        <v>0</v>
      </c>
      <c r="AN8" t="s">
        <v>655</v>
      </c>
      <c r="AO8">
        <v>0</v>
      </c>
      <c r="AR8">
        <v>0</v>
      </c>
      <c r="BI8" t="s">
        <v>152</v>
      </c>
      <c r="BJ8" t="s">
        <v>20</v>
      </c>
      <c r="BK8">
        <v>6</v>
      </c>
      <c r="BL8">
        <f>TRUE</f>
        <v>0</v>
      </c>
      <c r="BM8">
        <f>IF(BL8,BK8,0)</f>
        <v>0</v>
      </c>
      <c r="BN8">
        <f>BN7+BM7</f>
        <v>0</v>
      </c>
    </row>
    <row r="9" spans="1:66">
      <c r="A9" t="s">
        <v>207</v>
      </c>
      <c r="B9" t="s">
        <v>183</v>
      </c>
      <c r="C9">
        <v>78</v>
      </c>
      <c r="D9">
        <v>0</v>
      </c>
      <c r="E9">
        <v>24</v>
      </c>
      <c r="F9">
        <v>24</v>
      </c>
      <c r="G9">
        <v>8</v>
      </c>
      <c r="H9" t="s">
        <v>184</v>
      </c>
      <c r="I9">
        <v>12</v>
      </c>
      <c r="J9">
        <v>1</v>
      </c>
      <c r="K9" t="s">
        <v>196</v>
      </c>
      <c r="R9" t="s">
        <v>208</v>
      </c>
      <c r="S9" t="s">
        <v>209</v>
      </c>
      <c r="V9">
        <f>IF(Calcul!$F$2,"✓","")</f>
        <v>0</v>
      </c>
      <c r="W9">
        <f>IF(Calcul!$I$43,"cb_lock",IF(Calcul!$D$2,"cb_on",IF(Calcul!$F$2,"cb_auto","cb_off")))</f>
        <v>0</v>
      </c>
      <c r="Y9">
        <f>Rendu!$BN$3+7</f>
        <v>0</v>
      </c>
      <c r="AH9" t="s">
        <v>200</v>
      </c>
      <c r="AI9" t="s">
        <v>656</v>
      </c>
      <c r="AJ9">
        <v>0</v>
      </c>
      <c r="AL9">
        <v>0</v>
      </c>
      <c r="AM9">
        <v>0</v>
      </c>
      <c r="AO9">
        <v>0</v>
      </c>
      <c r="AP9" t="s">
        <v>506</v>
      </c>
      <c r="AR9">
        <v>0</v>
      </c>
      <c r="BI9" t="s">
        <v>153</v>
      </c>
      <c r="BJ9" t="s">
        <v>20</v>
      </c>
      <c r="BK9">
        <v>10</v>
      </c>
      <c r="BL9">
        <f>TRUE</f>
        <v>0</v>
      </c>
      <c r="BM9">
        <f>IF(BL9,BK9,0)</f>
        <v>0</v>
      </c>
      <c r="BN9">
        <f>BN8+BM8</f>
        <v>0</v>
      </c>
    </row>
    <row r="10" spans="1:66">
      <c r="A10" t="s">
        <v>210</v>
      </c>
      <c r="B10" t="s">
        <v>109</v>
      </c>
      <c r="C10">
        <v>108</v>
      </c>
      <c r="D10">
        <v>0</v>
      </c>
      <c r="E10">
        <v>16</v>
      </c>
      <c r="F10">
        <v>38</v>
      </c>
      <c r="H10" t="s">
        <v>211</v>
      </c>
      <c r="I10">
        <v>11</v>
      </c>
      <c r="J10">
        <v>0</v>
      </c>
      <c r="K10" t="s">
        <v>212</v>
      </c>
      <c r="L10" t="s">
        <v>191</v>
      </c>
      <c r="M10" t="s">
        <v>192</v>
      </c>
      <c r="P10" t="s">
        <v>213</v>
      </c>
      <c r="R10" t="s">
        <v>214</v>
      </c>
      <c r="S10" t="s">
        <v>215</v>
      </c>
      <c r="W10">
        <f>IF(Calcul!$I$43,"num_lock","num")</f>
        <v>0</v>
      </c>
      <c r="Y10">
        <f>Rendu!$BN$3</f>
        <v>0</v>
      </c>
      <c r="AH10" t="s">
        <v>657</v>
      </c>
      <c r="AI10" t="s">
        <v>656</v>
      </c>
      <c r="AJ10">
        <v>0</v>
      </c>
      <c r="AK10" t="s">
        <v>658</v>
      </c>
      <c r="AL10">
        <v>2</v>
      </c>
      <c r="AM10">
        <v>0</v>
      </c>
      <c r="AO10">
        <v>0</v>
      </c>
      <c r="AP10" t="s">
        <v>506</v>
      </c>
      <c r="AR10">
        <v>0</v>
      </c>
      <c r="BI10" t="s">
        <v>149</v>
      </c>
      <c r="BJ10" t="s">
        <v>31</v>
      </c>
      <c r="BK10">
        <v>6</v>
      </c>
      <c r="BL10">
        <f>TRUE</f>
        <v>0</v>
      </c>
      <c r="BM10">
        <f>IF(BL10,BK10,0)</f>
        <v>0</v>
      </c>
      <c r="BN10">
        <f>BN9+BM9</f>
        <v>0</v>
      </c>
    </row>
    <row r="11" spans="1:66">
      <c r="A11" t="s">
        <v>216</v>
      </c>
      <c r="B11" t="s">
        <v>109</v>
      </c>
      <c r="C11">
        <v>130</v>
      </c>
      <c r="D11">
        <v>0</v>
      </c>
      <c r="E11">
        <v>360</v>
      </c>
      <c r="F11">
        <v>38</v>
      </c>
      <c r="H11" t="s">
        <v>184</v>
      </c>
      <c r="I11">
        <v>15</v>
      </c>
      <c r="J11">
        <v>1</v>
      </c>
      <c r="K11" t="s">
        <v>185</v>
      </c>
      <c r="L11" t="s">
        <v>191</v>
      </c>
      <c r="M11" t="s">
        <v>192</v>
      </c>
      <c r="P11" t="s">
        <v>21</v>
      </c>
      <c r="R11" t="s">
        <v>217</v>
      </c>
      <c r="S11" t="s">
        <v>215</v>
      </c>
      <c r="W11">
        <f>IF(Calcul!$I$43,"lib_lock",IF(Calcul!$F$2,"lib_ok","lib"))</f>
        <v>0</v>
      </c>
      <c r="Y11">
        <f>Rendu!$BN$3</f>
        <v>0</v>
      </c>
      <c r="AH11" t="s">
        <v>205</v>
      </c>
      <c r="AI11" t="s">
        <v>646</v>
      </c>
      <c r="AJ11">
        <v>0</v>
      </c>
      <c r="AL11">
        <v>0</v>
      </c>
      <c r="AM11">
        <v>0</v>
      </c>
      <c r="AN11" t="s">
        <v>659</v>
      </c>
      <c r="AO11">
        <v>0</v>
      </c>
      <c r="AP11" t="s">
        <v>652</v>
      </c>
      <c r="AR11">
        <v>0</v>
      </c>
      <c r="BI11" t="s">
        <v>150</v>
      </c>
      <c r="BJ11" t="s">
        <v>31</v>
      </c>
      <c r="BK11">
        <v>38</v>
      </c>
      <c r="BL11">
        <f>TRUE</f>
        <v>0</v>
      </c>
      <c r="BM11">
        <f>IF(BL11,BK11,0)</f>
        <v>0</v>
      </c>
      <c r="BN11">
        <f>BN10+BM10</f>
        <v>0</v>
      </c>
    </row>
    <row r="12" spans="1:66">
      <c r="A12" t="s">
        <v>218</v>
      </c>
      <c r="B12" t="s">
        <v>219</v>
      </c>
      <c r="C12">
        <v>509</v>
      </c>
      <c r="D12">
        <v>0</v>
      </c>
      <c r="E12">
        <v>12</v>
      </c>
      <c r="F12">
        <v>12</v>
      </c>
      <c r="H12" t="s">
        <v>184</v>
      </c>
      <c r="R12" t="s">
        <v>220</v>
      </c>
      <c r="W12">
        <f>IF(Calcul!$I$43,"led_off_lock",IF(Calcul!$L$43="ok","led_on","led_off"))</f>
        <v>0</v>
      </c>
      <c r="Y12">
        <f>Rendu!$BN$3+13</f>
        <v>0</v>
      </c>
      <c r="AH12" t="s">
        <v>660</v>
      </c>
      <c r="AI12" t="s">
        <v>646</v>
      </c>
      <c r="AJ12">
        <v>0.45</v>
      </c>
      <c r="AL12">
        <v>0</v>
      </c>
      <c r="AM12">
        <v>0</v>
      </c>
      <c r="AN12" t="s">
        <v>659</v>
      </c>
      <c r="AO12">
        <v>0.5</v>
      </c>
      <c r="AR12">
        <v>0</v>
      </c>
      <c r="BI12" t="s">
        <v>151</v>
      </c>
      <c r="BJ12" t="s">
        <v>34</v>
      </c>
      <c r="BK12">
        <v>30</v>
      </c>
      <c r="BL12">
        <f>NOT(OR(Calcul!$G$7,Calcul!$I$44))</f>
        <v>0</v>
      </c>
      <c r="BM12">
        <f>IF(BL12,BK12,0)</f>
        <v>0</v>
      </c>
      <c r="BN12">
        <f>BN11+BM11</f>
        <v>0</v>
      </c>
    </row>
    <row r="13" spans="1:66">
      <c r="A13" t="s">
        <v>221</v>
      </c>
      <c r="B13" t="s">
        <v>183</v>
      </c>
      <c r="C13">
        <v>98</v>
      </c>
      <c r="D13">
        <v>0</v>
      </c>
      <c r="E13">
        <v>24</v>
      </c>
      <c r="F13">
        <v>24</v>
      </c>
      <c r="G13">
        <v>8</v>
      </c>
      <c r="H13" t="s">
        <v>184</v>
      </c>
      <c r="I13">
        <v>12</v>
      </c>
      <c r="J13">
        <v>1</v>
      </c>
      <c r="K13" t="s">
        <v>196</v>
      </c>
      <c r="R13" t="s">
        <v>208</v>
      </c>
      <c r="S13" t="s">
        <v>222</v>
      </c>
      <c r="V13">
        <f>IF(Calcul!$F$3,"✓","")</f>
        <v>0</v>
      </c>
      <c r="W13">
        <f>IF(Calcul!$D$3,"cb_on",IF(Calcul!$F$3,"cb_auto","cb_off"))</f>
        <v>0</v>
      </c>
      <c r="X13">
        <f>NOT(OR(Calcul!$G$2,Calcul!$I$43))</f>
        <v>0</v>
      </c>
      <c r="Y13">
        <f>Rendu!$BN$4+3</f>
        <v>0</v>
      </c>
      <c r="AH13" t="s">
        <v>208</v>
      </c>
      <c r="AI13" t="s">
        <v>646</v>
      </c>
      <c r="AJ13">
        <v>0</v>
      </c>
      <c r="AL13">
        <v>0</v>
      </c>
      <c r="AM13">
        <v>0</v>
      </c>
      <c r="AN13" t="s">
        <v>646</v>
      </c>
      <c r="AO13">
        <v>0</v>
      </c>
      <c r="AP13" t="s">
        <v>506</v>
      </c>
      <c r="AR13">
        <v>0</v>
      </c>
      <c r="BI13" t="s">
        <v>151</v>
      </c>
      <c r="BJ13" t="s">
        <v>37</v>
      </c>
      <c r="BK13">
        <v>30</v>
      </c>
      <c r="BL13">
        <f>NOT(OR(Calcul!$G$7,Calcul!$I$44))</f>
        <v>0</v>
      </c>
      <c r="BM13">
        <f>IF(BL13,BK13,0)</f>
        <v>0</v>
      </c>
      <c r="BN13">
        <f>BN12+BM12</f>
        <v>0</v>
      </c>
    </row>
    <row r="14" spans="1:66">
      <c r="A14" t="s">
        <v>223</v>
      </c>
      <c r="B14" t="s">
        <v>109</v>
      </c>
      <c r="C14">
        <v>130</v>
      </c>
      <c r="D14">
        <v>0</v>
      </c>
      <c r="E14">
        <v>380</v>
      </c>
      <c r="F14">
        <v>30</v>
      </c>
      <c r="H14" t="s">
        <v>184</v>
      </c>
      <c r="I14">
        <v>13.5</v>
      </c>
      <c r="J14">
        <v>1</v>
      </c>
      <c r="K14" t="s">
        <v>185</v>
      </c>
      <c r="L14" t="s">
        <v>191</v>
      </c>
      <c r="M14" t="s">
        <v>192</v>
      </c>
      <c r="P14" t="s">
        <v>24</v>
      </c>
      <c r="R14" t="s">
        <v>217</v>
      </c>
      <c r="S14" t="s">
        <v>222</v>
      </c>
      <c r="W14">
        <f>IF(Calcul!$F$3,"lib_ok","lib")</f>
        <v>0</v>
      </c>
      <c r="X14">
        <f>NOT(OR(Calcul!$G$2,Calcul!$I$43))</f>
        <v>0</v>
      </c>
      <c r="Y14">
        <f>Rendu!$BN$4</f>
        <v>0</v>
      </c>
      <c r="AH14" t="s">
        <v>661</v>
      </c>
      <c r="AI14" t="s">
        <v>662</v>
      </c>
      <c r="AJ14">
        <v>0</v>
      </c>
      <c r="AL14">
        <v>0</v>
      </c>
      <c r="AM14">
        <v>0</v>
      </c>
      <c r="AN14" t="s">
        <v>646</v>
      </c>
      <c r="AO14">
        <v>0</v>
      </c>
      <c r="AP14" t="s">
        <v>652</v>
      </c>
      <c r="AR14">
        <v>0</v>
      </c>
      <c r="BI14" t="s">
        <v>151</v>
      </c>
      <c r="BJ14" t="s">
        <v>39</v>
      </c>
      <c r="BK14">
        <v>30</v>
      </c>
      <c r="BL14">
        <f>NOT(OR(Calcul!$G$7,Calcul!$I$44))</f>
        <v>0</v>
      </c>
      <c r="BM14">
        <f>IF(BL14,BK14,0)</f>
        <v>0</v>
      </c>
      <c r="BN14">
        <f>BN13+BM13</f>
        <v>0</v>
      </c>
    </row>
    <row r="15" spans="1:66">
      <c r="A15" t="s">
        <v>224</v>
      </c>
      <c r="B15" t="s">
        <v>183</v>
      </c>
      <c r="C15">
        <v>98</v>
      </c>
      <c r="D15">
        <v>0</v>
      </c>
      <c r="E15">
        <v>24</v>
      </c>
      <c r="F15">
        <v>24</v>
      </c>
      <c r="G15">
        <v>8</v>
      </c>
      <c r="H15" t="s">
        <v>184</v>
      </c>
      <c r="I15">
        <v>12</v>
      </c>
      <c r="J15">
        <v>1</v>
      </c>
      <c r="K15" t="s">
        <v>196</v>
      </c>
      <c r="R15" t="s">
        <v>208</v>
      </c>
      <c r="S15" t="s">
        <v>225</v>
      </c>
      <c r="V15">
        <f>IF(Calcul!$F$4,"✓","")</f>
        <v>0</v>
      </c>
      <c r="W15">
        <f>IF(Calcul!$D$4,"cb_on",IF(Calcul!$F$4,"cb_auto","cb_off"))</f>
        <v>0</v>
      </c>
      <c r="X15">
        <f>NOT(OR(Calcul!$G$2,Calcul!$I$43))</f>
        <v>0</v>
      </c>
      <c r="Y15">
        <f>Rendu!$BN$5+3</f>
        <v>0</v>
      </c>
      <c r="AH15" t="s">
        <v>663</v>
      </c>
      <c r="AI15" t="s">
        <v>664</v>
      </c>
      <c r="AJ15">
        <v>0</v>
      </c>
      <c r="AL15">
        <v>0</v>
      </c>
      <c r="AM15">
        <v>0</v>
      </c>
      <c r="AN15" t="s">
        <v>646</v>
      </c>
      <c r="AO15">
        <v>0</v>
      </c>
      <c r="AP15" t="s">
        <v>652</v>
      </c>
      <c r="AR15">
        <v>0</v>
      </c>
      <c r="BI15" t="s">
        <v>151</v>
      </c>
      <c r="BJ15" t="s">
        <v>41</v>
      </c>
      <c r="BK15">
        <v>30</v>
      </c>
      <c r="BL15">
        <f>NOT(OR(Calcul!$G$7,Calcul!$I$44))</f>
        <v>0</v>
      </c>
      <c r="BM15">
        <f>IF(BL15,BK15,0)</f>
        <v>0</v>
      </c>
      <c r="BN15">
        <f>BN14+BM14</f>
        <v>0</v>
      </c>
    </row>
    <row r="16" spans="1:66">
      <c r="A16" t="s">
        <v>226</v>
      </c>
      <c r="B16" t="s">
        <v>109</v>
      </c>
      <c r="C16">
        <v>130</v>
      </c>
      <c r="D16">
        <v>0</v>
      </c>
      <c r="E16">
        <v>380</v>
      </c>
      <c r="F16">
        <v>30</v>
      </c>
      <c r="H16" t="s">
        <v>184</v>
      </c>
      <c r="I16">
        <v>13.5</v>
      </c>
      <c r="J16">
        <v>1</v>
      </c>
      <c r="K16" t="s">
        <v>185</v>
      </c>
      <c r="L16" t="s">
        <v>191</v>
      </c>
      <c r="M16" t="s">
        <v>192</v>
      </c>
      <c r="P16" t="s">
        <v>26</v>
      </c>
      <c r="R16" t="s">
        <v>217</v>
      </c>
      <c r="S16" t="s">
        <v>225</v>
      </c>
      <c r="W16">
        <f>IF(Calcul!$F$4,"lib_ok","lib")</f>
        <v>0</v>
      </c>
      <c r="X16">
        <f>NOT(OR(Calcul!$G$2,Calcul!$I$43))</f>
        <v>0</v>
      </c>
      <c r="Y16">
        <f>Rendu!$BN$5</f>
        <v>0</v>
      </c>
      <c r="AH16" t="s">
        <v>665</v>
      </c>
      <c r="AI16" t="s">
        <v>646</v>
      </c>
      <c r="AJ16">
        <v>0.5</v>
      </c>
      <c r="AL16">
        <v>0</v>
      </c>
      <c r="AM16">
        <v>0</v>
      </c>
      <c r="AN16" t="s">
        <v>646</v>
      </c>
      <c r="AO16">
        <v>0</v>
      </c>
      <c r="AP16" t="s">
        <v>506</v>
      </c>
      <c r="AR16">
        <v>0</v>
      </c>
      <c r="BI16" t="s">
        <v>154</v>
      </c>
      <c r="BJ16" t="s">
        <v>43</v>
      </c>
      <c r="BK16">
        <v>18</v>
      </c>
      <c r="BL16">
        <f>NOT(OR(Calcul!$G$7,Calcul!$I$44))</f>
        <v>0</v>
      </c>
      <c r="BM16">
        <f>IF(BL16,BK16,0)</f>
        <v>0</v>
      </c>
      <c r="BN16">
        <f>BN15+BM15</f>
        <v>0</v>
      </c>
    </row>
    <row r="17" spans="1:66">
      <c r="A17" t="s">
        <v>227</v>
      </c>
      <c r="B17" t="s">
        <v>183</v>
      </c>
      <c r="C17">
        <v>98</v>
      </c>
      <c r="D17">
        <v>0</v>
      </c>
      <c r="E17">
        <v>24</v>
      </c>
      <c r="F17">
        <v>24</v>
      </c>
      <c r="G17">
        <v>8</v>
      </c>
      <c r="H17" t="s">
        <v>184</v>
      </c>
      <c r="I17">
        <v>12</v>
      </c>
      <c r="J17">
        <v>1</v>
      </c>
      <c r="K17" t="s">
        <v>196</v>
      </c>
      <c r="R17" t="s">
        <v>208</v>
      </c>
      <c r="S17" t="s">
        <v>228</v>
      </c>
      <c r="V17">
        <f>IF(Calcul!$F$5,"✓","")</f>
        <v>0</v>
      </c>
      <c r="W17">
        <f>IF(Calcul!$D$5,"cb_on",IF(Calcul!$F$5,"cb_auto","cb_off"))</f>
        <v>0</v>
      </c>
      <c r="X17">
        <f>NOT(OR(Calcul!$G$2,Calcul!$I$43))</f>
        <v>0</v>
      </c>
      <c r="Y17">
        <f>Rendu!$BN$6+3</f>
        <v>0</v>
      </c>
      <c r="AH17" t="s">
        <v>214</v>
      </c>
      <c r="AJ17">
        <v>0</v>
      </c>
      <c r="AL17">
        <v>0</v>
      </c>
      <c r="AM17">
        <v>0</v>
      </c>
      <c r="AN17" t="s">
        <v>653</v>
      </c>
      <c r="AO17">
        <v>0</v>
      </c>
      <c r="AR17">
        <v>0</v>
      </c>
      <c r="BI17" t="s">
        <v>151</v>
      </c>
      <c r="BJ17" t="s">
        <v>43</v>
      </c>
      <c r="BK17">
        <v>30</v>
      </c>
      <c r="BL17">
        <f>NOT(OR(Calcul!$G$7,Calcul!$I$44))</f>
        <v>0</v>
      </c>
      <c r="BM17">
        <f>IF(BL17,BK17,0)</f>
        <v>0</v>
      </c>
      <c r="BN17">
        <f>BN16+BM16</f>
        <v>0</v>
      </c>
    </row>
    <row r="18" spans="1:66">
      <c r="A18" t="s">
        <v>229</v>
      </c>
      <c r="B18" t="s">
        <v>109</v>
      </c>
      <c r="C18">
        <v>130</v>
      </c>
      <c r="D18">
        <v>0</v>
      </c>
      <c r="E18">
        <v>380</v>
      </c>
      <c r="F18">
        <v>30</v>
      </c>
      <c r="H18" t="s">
        <v>184</v>
      </c>
      <c r="I18">
        <v>13.5</v>
      </c>
      <c r="J18">
        <v>1</v>
      </c>
      <c r="K18" t="s">
        <v>185</v>
      </c>
      <c r="L18" t="s">
        <v>191</v>
      </c>
      <c r="M18" t="s">
        <v>192</v>
      </c>
      <c r="P18" t="s">
        <v>28</v>
      </c>
      <c r="R18" t="s">
        <v>217</v>
      </c>
      <c r="S18" t="s">
        <v>228</v>
      </c>
      <c r="W18">
        <f>IF(Calcul!$F$5,"lib_ok","lib")</f>
        <v>0</v>
      </c>
      <c r="X18">
        <f>NOT(OR(Calcul!$G$2,Calcul!$I$43))</f>
        <v>0</v>
      </c>
      <c r="Y18">
        <f>Rendu!$BN$6</f>
        <v>0</v>
      </c>
      <c r="AH18" t="s">
        <v>666</v>
      </c>
      <c r="AJ18">
        <v>0</v>
      </c>
      <c r="AL18">
        <v>0</v>
      </c>
      <c r="AM18">
        <v>0</v>
      </c>
      <c r="AN18" t="s">
        <v>653</v>
      </c>
      <c r="AO18">
        <v>0.5</v>
      </c>
      <c r="AR18">
        <v>0</v>
      </c>
      <c r="BI18" t="s">
        <v>151</v>
      </c>
      <c r="BJ18" t="s">
        <v>46</v>
      </c>
      <c r="BK18">
        <v>30</v>
      </c>
      <c r="BL18">
        <f>NOT(OR(Calcul!$G$7,Calcul!$I$44))</f>
        <v>0</v>
      </c>
      <c r="BM18">
        <f>IF(BL18,BK18,0)</f>
        <v>0</v>
      </c>
      <c r="BN18">
        <f>BN17+BM17</f>
        <v>0</v>
      </c>
    </row>
    <row r="19" spans="1:66">
      <c r="A19" t="s">
        <v>230</v>
      </c>
      <c r="B19" t="s">
        <v>183</v>
      </c>
      <c r="C19">
        <v>98</v>
      </c>
      <c r="D19">
        <v>0</v>
      </c>
      <c r="E19">
        <v>24</v>
      </c>
      <c r="F19">
        <v>24</v>
      </c>
      <c r="G19">
        <v>8</v>
      </c>
      <c r="H19" t="s">
        <v>184</v>
      </c>
      <c r="I19">
        <v>12</v>
      </c>
      <c r="J19">
        <v>1</v>
      </c>
      <c r="K19" t="s">
        <v>196</v>
      </c>
      <c r="R19" t="s">
        <v>208</v>
      </c>
      <c r="S19" t="s">
        <v>231</v>
      </c>
      <c r="V19">
        <f>IF(Calcul!$F$6,"✓","")</f>
        <v>0</v>
      </c>
      <c r="W19">
        <f>IF(Calcul!$D$6,"cb_on",IF(Calcul!$F$6,"cb_auto","cb_off"))</f>
        <v>0</v>
      </c>
      <c r="X19">
        <f>NOT(OR(Calcul!$G$2,Calcul!$I$43))</f>
        <v>0</v>
      </c>
      <c r="Y19">
        <f>Rendu!$BN$7+3</f>
        <v>0</v>
      </c>
      <c r="AH19" t="s">
        <v>217</v>
      </c>
      <c r="AJ19">
        <v>0</v>
      </c>
      <c r="AL19">
        <v>0</v>
      </c>
      <c r="AM19">
        <v>0</v>
      </c>
      <c r="AN19" t="s">
        <v>659</v>
      </c>
      <c r="AO19">
        <v>0</v>
      </c>
      <c r="AR19">
        <v>0</v>
      </c>
      <c r="BI19" t="s">
        <v>151</v>
      </c>
      <c r="BJ19" t="s">
        <v>48</v>
      </c>
      <c r="BK19">
        <v>30</v>
      </c>
      <c r="BL19">
        <f>NOT(OR(Calcul!$G$7,Calcul!$I$44))</f>
        <v>0</v>
      </c>
      <c r="BM19">
        <f>IF(BL19,BK19,0)</f>
        <v>0</v>
      </c>
      <c r="BN19">
        <f>BN18+BM18</f>
        <v>0</v>
      </c>
    </row>
    <row r="20" spans="1:66">
      <c r="A20" t="s">
        <v>232</v>
      </c>
      <c r="B20" t="s">
        <v>109</v>
      </c>
      <c r="C20">
        <v>130</v>
      </c>
      <c r="D20">
        <v>0</v>
      </c>
      <c r="E20">
        <v>380</v>
      </c>
      <c r="F20">
        <v>30</v>
      </c>
      <c r="H20" t="s">
        <v>184</v>
      </c>
      <c r="I20">
        <v>13.5</v>
      </c>
      <c r="J20">
        <v>1</v>
      </c>
      <c r="K20" t="s">
        <v>185</v>
      </c>
      <c r="L20" t="s">
        <v>191</v>
      </c>
      <c r="M20" t="s">
        <v>192</v>
      </c>
      <c r="P20" t="s">
        <v>30</v>
      </c>
      <c r="R20" t="s">
        <v>217</v>
      </c>
      <c r="S20" t="s">
        <v>231</v>
      </c>
      <c r="W20">
        <f>IF(Calcul!$F$6,"lib_ok","lib")</f>
        <v>0</v>
      </c>
      <c r="X20">
        <f>NOT(OR(Calcul!$G$2,Calcul!$I$43))</f>
        <v>0</v>
      </c>
      <c r="Y20">
        <f>Rendu!$BN$7</f>
        <v>0</v>
      </c>
      <c r="AH20" t="s">
        <v>667</v>
      </c>
      <c r="AJ20">
        <v>0</v>
      </c>
      <c r="AL20">
        <v>0</v>
      </c>
      <c r="AM20">
        <v>0</v>
      </c>
      <c r="AN20" t="s">
        <v>662</v>
      </c>
      <c r="AO20">
        <v>0</v>
      </c>
      <c r="AR20">
        <v>0</v>
      </c>
      <c r="BI20" t="s">
        <v>152</v>
      </c>
      <c r="BJ20" t="s">
        <v>31</v>
      </c>
      <c r="BK20">
        <v>6</v>
      </c>
      <c r="BL20">
        <f>TRUE</f>
        <v>0</v>
      </c>
      <c r="BM20">
        <f>IF(BL20,BK20,0)</f>
        <v>0</v>
      </c>
      <c r="BN20">
        <f>BN19+BM19</f>
        <v>0</v>
      </c>
    </row>
    <row r="21" spans="1:66">
      <c r="A21" t="s">
        <v>233</v>
      </c>
      <c r="B21" t="s">
        <v>183</v>
      </c>
      <c r="C21">
        <v>32</v>
      </c>
      <c r="D21">
        <v>103</v>
      </c>
      <c r="E21">
        <v>503</v>
      </c>
      <c r="F21">
        <v>50</v>
      </c>
      <c r="G21">
        <v>16</v>
      </c>
      <c r="H21" t="s">
        <v>184</v>
      </c>
      <c r="R21" t="s">
        <v>200</v>
      </c>
      <c r="W21">
        <f>IF(Calcul!$B$52=2,"grp_actif","grp")</f>
        <v>0</v>
      </c>
      <c r="Y21">
        <f>Rendu!$BN$10</f>
        <v>0</v>
      </c>
      <c r="Z21">
        <f>SUM(Rendu!$BM$10:Rendu!$BM$20)</f>
        <v>0</v>
      </c>
      <c r="AH21" t="s">
        <v>668</v>
      </c>
      <c r="AJ21">
        <v>0</v>
      </c>
      <c r="AL21">
        <v>0</v>
      </c>
      <c r="AM21">
        <v>0</v>
      </c>
      <c r="AN21" t="s">
        <v>659</v>
      </c>
      <c r="AO21">
        <v>0.5</v>
      </c>
      <c r="AR21">
        <v>0</v>
      </c>
      <c r="BI21" t="s">
        <v>153</v>
      </c>
      <c r="BJ21" t="s">
        <v>31</v>
      </c>
      <c r="BK21">
        <v>10</v>
      </c>
      <c r="BL21">
        <f>TRUE</f>
        <v>0</v>
      </c>
      <c r="BM21">
        <f>IF(BL21,BK21,0)</f>
        <v>0</v>
      </c>
      <c r="BN21">
        <f>BN20+BM20</f>
        <v>0</v>
      </c>
    </row>
    <row r="22" spans="1:66">
      <c r="A22" t="s">
        <v>234</v>
      </c>
      <c r="B22" t="s">
        <v>202</v>
      </c>
      <c r="C22">
        <v>54</v>
      </c>
      <c r="D22">
        <v>103</v>
      </c>
      <c r="E22">
        <v>0</v>
      </c>
      <c r="F22">
        <v>40</v>
      </c>
      <c r="H22" t="s">
        <v>184</v>
      </c>
      <c r="R22" t="s">
        <v>202</v>
      </c>
      <c r="X22">
        <f>NOT(OR(Calcul!$G$7,Calcul!$I$44))</f>
        <v>0</v>
      </c>
      <c r="Y22">
        <f>Rendu!$BN$12+2</f>
        <v>0</v>
      </c>
      <c r="Z22">
        <f>Rendu!$BN$20-Rendu!$BN$12-6</f>
        <v>0</v>
      </c>
      <c r="AH22" t="s">
        <v>669</v>
      </c>
      <c r="AI22" t="s">
        <v>670</v>
      </c>
      <c r="AJ22">
        <v>0</v>
      </c>
      <c r="AL22">
        <v>0</v>
      </c>
      <c r="AM22">
        <v>0</v>
      </c>
      <c r="AO22">
        <v>0</v>
      </c>
      <c r="AP22" t="s">
        <v>671</v>
      </c>
      <c r="AR22">
        <v>0</v>
      </c>
      <c r="BI22" t="s">
        <v>149</v>
      </c>
      <c r="BJ22" t="s">
        <v>50</v>
      </c>
      <c r="BK22">
        <v>6</v>
      </c>
      <c r="BL22">
        <f>TRUE</f>
        <v>0</v>
      </c>
      <c r="BM22">
        <f>IF(BL22,BK22,0)</f>
        <v>0</v>
      </c>
      <c r="BN22">
        <f>BN21+BM21</f>
        <v>0</v>
      </c>
    </row>
    <row r="23" spans="1:66">
      <c r="A23" t="s">
        <v>235</v>
      </c>
      <c r="B23" t="s">
        <v>183</v>
      </c>
      <c r="C23">
        <v>42</v>
      </c>
      <c r="D23">
        <v>0</v>
      </c>
      <c r="E23">
        <v>26</v>
      </c>
      <c r="F23">
        <v>26</v>
      </c>
      <c r="G23">
        <v>9</v>
      </c>
      <c r="H23" t="s">
        <v>184</v>
      </c>
      <c r="I23">
        <v>13</v>
      </c>
      <c r="K23" t="s">
        <v>196</v>
      </c>
      <c r="P23" t="s">
        <v>204</v>
      </c>
      <c r="R23" t="s">
        <v>205</v>
      </c>
      <c r="S23" t="s">
        <v>236</v>
      </c>
      <c r="V23">
        <f>IF(OR(Calcul!$G$7,Calcul!$I$44),"▸","▾")</f>
        <v>0</v>
      </c>
      <c r="W23">
        <f>IF(Calcul!$I$44,"chev_lock","chev")</f>
        <v>0</v>
      </c>
      <c r="Y23">
        <f>Rendu!$BN$11+6</f>
        <v>0</v>
      </c>
      <c r="AH23" t="s">
        <v>220</v>
      </c>
      <c r="AI23" t="s">
        <v>672</v>
      </c>
      <c r="AJ23">
        <v>0</v>
      </c>
      <c r="AL23">
        <v>0</v>
      </c>
      <c r="AM23">
        <v>0</v>
      </c>
      <c r="AO23">
        <v>0</v>
      </c>
      <c r="AP23" t="s">
        <v>673</v>
      </c>
      <c r="AR23">
        <v>0</v>
      </c>
      <c r="BI23" t="s">
        <v>150</v>
      </c>
      <c r="BJ23" t="s">
        <v>50</v>
      </c>
      <c r="BK23">
        <v>38</v>
      </c>
      <c r="BL23">
        <f>TRUE</f>
        <v>0</v>
      </c>
      <c r="BM23">
        <f>IF(BL23,BK23,0)</f>
        <v>0</v>
      </c>
      <c r="BN23">
        <f>BN22+BM22</f>
        <v>0</v>
      </c>
    </row>
    <row r="24" spans="1:66">
      <c r="A24" t="s">
        <v>237</v>
      </c>
      <c r="B24" t="s">
        <v>183</v>
      </c>
      <c r="C24">
        <v>78</v>
      </c>
      <c r="D24">
        <v>0</v>
      </c>
      <c r="E24">
        <v>24</v>
      </c>
      <c r="F24">
        <v>24</v>
      </c>
      <c r="G24">
        <v>8</v>
      </c>
      <c r="H24" t="s">
        <v>184</v>
      </c>
      <c r="I24">
        <v>12</v>
      </c>
      <c r="J24">
        <v>1</v>
      </c>
      <c r="K24" t="s">
        <v>196</v>
      </c>
      <c r="R24" t="s">
        <v>208</v>
      </c>
      <c r="S24" t="s">
        <v>238</v>
      </c>
      <c r="V24">
        <f>IF(Calcul!$F$7,"✓","")</f>
        <v>0</v>
      </c>
      <c r="W24">
        <f>IF(Calcul!$I$44,"cb_lock",IF(Calcul!$D$7,"cb_on",IF(Calcul!$F$7,"cb_auto","cb_off")))</f>
        <v>0</v>
      </c>
      <c r="Y24">
        <f>Rendu!$BN$11+7</f>
        <v>0</v>
      </c>
      <c r="AH24" t="s">
        <v>674</v>
      </c>
      <c r="AI24" t="s">
        <v>672</v>
      </c>
      <c r="AJ24">
        <v>0.5</v>
      </c>
      <c r="AL24">
        <v>0</v>
      </c>
      <c r="AM24">
        <v>0</v>
      </c>
      <c r="AO24">
        <v>0</v>
      </c>
      <c r="AR24">
        <v>0</v>
      </c>
      <c r="BI24" t="s">
        <v>151</v>
      </c>
      <c r="BJ24" t="s">
        <v>52</v>
      </c>
      <c r="BK24">
        <v>30</v>
      </c>
      <c r="BL24">
        <f>NOT(OR(Calcul!$G$15,Calcul!$I$45))</f>
        <v>0</v>
      </c>
      <c r="BM24">
        <f>IF(BL24,BK24,0)</f>
        <v>0</v>
      </c>
      <c r="BN24">
        <f>BN23+BM23</f>
        <v>0</v>
      </c>
    </row>
    <row r="25" spans="1:66">
      <c r="A25" t="s">
        <v>239</v>
      </c>
      <c r="B25" t="s">
        <v>109</v>
      </c>
      <c r="C25">
        <v>108</v>
      </c>
      <c r="D25">
        <v>0</v>
      </c>
      <c r="E25">
        <v>16</v>
      </c>
      <c r="F25">
        <v>38</v>
      </c>
      <c r="H25" t="s">
        <v>211</v>
      </c>
      <c r="I25">
        <v>11</v>
      </c>
      <c r="J25">
        <v>0</v>
      </c>
      <c r="K25" t="s">
        <v>212</v>
      </c>
      <c r="L25" t="s">
        <v>191</v>
      </c>
      <c r="M25" t="s">
        <v>192</v>
      </c>
      <c r="P25" t="s">
        <v>240</v>
      </c>
      <c r="R25" t="s">
        <v>214</v>
      </c>
      <c r="S25" t="s">
        <v>241</v>
      </c>
      <c r="W25">
        <f>IF(Calcul!$I$44,"num_lock","num")</f>
        <v>0</v>
      </c>
      <c r="Y25">
        <f>Rendu!$BN$11</f>
        <v>0</v>
      </c>
      <c r="AH25" t="s">
        <v>154</v>
      </c>
      <c r="AJ25">
        <v>0</v>
      </c>
      <c r="AL25">
        <v>0</v>
      </c>
      <c r="AM25">
        <v>0</v>
      </c>
      <c r="AN25" t="s">
        <v>653</v>
      </c>
      <c r="AO25">
        <v>0</v>
      </c>
      <c r="AR25">
        <v>0</v>
      </c>
      <c r="BI25" t="s">
        <v>151</v>
      </c>
      <c r="BJ25" t="s">
        <v>54</v>
      </c>
      <c r="BK25">
        <v>30</v>
      </c>
      <c r="BL25">
        <f>NOT(OR(Calcul!$G$15,Calcul!$I$45))</f>
        <v>0</v>
      </c>
      <c r="BM25">
        <f>IF(BL25,BK25,0)</f>
        <v>0</v>
      </c>
      <c r="BN25">
        <f>BN24+BM24</f>
        <v>0</v>
      </c>
    </row>
    <row r="26" spans="1:66">
      <c r="A26" t="s">
        <v>242</v>
      </c>
      <c r="B26" t="s">
        <v>109</v>
      </c>
      <c r="C26">
        <v>130</v>
      </c>
      <c r="D26">
        <v>0</v>
      </c>
      <c r="E26">
        <v>360</v>
      </c>
      <c r="F26">
        <v>38</v>
      </c>
      <c r="H26" t="s">
        <v>184</v>
      </c>
      <c r="I26">
        <v>15</v>
      </c>
      <c r="J26">
        <v>1</v>
      </c>
      <c r="K26" t="s">
        <v>185</v>
      </c>
      <c r="L26" t="s">
        <v>191</v>
      </c>
      <c r="M26" t="s">
        <v>192</v>
      </c>
      <c r="P26" t="s">
        <v>32</v>
      </c>
      <c r="R26" t="s">
        <v>217</v>
      </c>
      <c r="S26" t="s">
        <v>241</v>
      </c>
      <c r="W26">
        <f>IF(Calcul!$I$44,"lib_lock",IF(Calcul!$F$7,"lib_ok","lib"))</f>
        <v>0</v>
      </c>
      <c r="Y26">
        <f>Rendu!$BN$11</f>
        <v>0</v>
      </c>
      <c r="AH26" t="s">
        <v>198</v>
      </c>
      <c r="AI26" t="s">
        <v>675</v>
      </c>
      <c r="AJ26">
        <v>0</v>
      </c>
      <c r="AL26">
        <v>0</v>
      </c>
      <c r="AM26">
        <v>0</v>
      </c>
      <c r="AN26" t="s">
        <v>676</v>
      </c>
      <c r="AO26">
        <v>0</v>
      </c>
      <c r="AR26">
        <v>0</v>
      </c>
      <c r="BI26" t="s">
        <v>151</v>
      </c>
      <c r="BJ26" t="s">
        <v>56</v>
      </c>
      <c r="BK26">
        <v>30</v>
      </c>
      <c r="BL26">
        <f>NOT(OR(Calcul!$G$15,Calcul!$I$45))</f>
        <v>0</v>
      </c>
      <c r="BM26">
        <f>IF(BL26,BK26,0)</f>
        <v>0</v>
      </c>
      <c r="BN26">
        <f>BN25+BM25</f>
        <v>0</v>
      </c>
    </row>
    <row r="27" spans="1:66">
      <c r="A27" t="s">
        <v>243</v>
      </c>
      <c r="B27" t="s">
        <v>219</v>
      </c>
      <c r="C27">
        <v>509</v>
      </c>
      <c r="D27">
        <v>0</v>
      </c>
      <c r="E27">
        <v>12</v>
      </c>
      <c r="F27">
        <v>12</v>
      </c>
      <c r="H27" t="s">
        <v>184</v>
      </c>
      <c r="R27" t="s">
        <v>220</v>
      </c>
      <c r="W27">
        <f>IF(Calcul!$I$44,"led_off_lock",IF(Calcul!$L$44="ok","led_on","led_off"))</f>
        <v>0</v>
      </c>
      <c r="Y27">
        <f>Rendu!$BN$11+13</f>
        <v>0</v>
      </c>
      <c r="AH27" t="s">
        <v>489</v>
      </c>
      <c r="AI27" t="s">
        <v>675</v>
      </c>
      <c r="AJ27">
        <v>0</v>
      </c>
      <c r="AL27">
        <v>0</v>
      </c>
      <c r="AM27">
        <v>0</v>
      </c>
      <c r="AN27" t="s">
        <v>676</v>
      </c>
      <c r="AO27">
        <v>0</v>
      </c>
      <c r="AR27">
        <v>0</v>
      </c>
      <c r="BI27" t="s">
        <v>151</v>
      </c>
      <c r="BJ27" t="s">
        <v>58</v>
      </c>
      <c r="BK27">
        <v>30</v>
      </c>
      <c r="BL27">
        <f>NOT(OR(Calcul!$G$15,Calcul!$I$45))</f>
        <v>0</v>
      </c>
      <c r="BM27">
        <f>IF(BL27,BK27,0)</f>
        <v>0</v>
      </c>
      <c r="BN27">
        <f>BN26+BM26</f>
        <v>0</v>
      </c>
    </row>
    <row r="28" spans="1:66">
      <c r="A28" t="s">
        <v>244</v>
      </c>
      <c r="B28" t="s">
        <v>183</v>
      </c>
      <c r="C28">
        <v>98</v>
      </c>
      <c r="D28">
        <v>0</v>
      </c>
      <c r="E28">
        <v>24</v>
      </c>
      <c r="F28">
        <v>24</v>
      </c>
      <c r="G28">
        <v>8</v>
      </c>
      <c r="H28" t="s">
        <v>184</v>
      </c>
      <c r="I28">
        <v>12</v>
      </c>
      <c r="J28">
        <v>1</v>
      </c>
      <c r="K28" t="s">
        <v>196</v>
      </c>
      <c r="R28" t="s">
        <v>208</v>
      </c>
      <c r="S28" t="s">
        <v>245</v>
      </c>
      <c r="V28">
        <f>IF(Calcul!$F$8,"✓","")</f>
        <v>0</v>
      </c>
      <c r="W28">
        <f>IF(Calcul!$D$8,"cb_on",IF(Calcul!$F$8,"cb_auto","cb_off"))</f>
        <v>0</v>
      </c>
      <c r="X28">
        <f>NOT(OR(Calcul!$G$7,Calcul!$I$44))</f>
        <v>0</v>
      </c>
      <c r="Y28">
        <f>Rendu!$BN$12+3</f>
        <v>0</v>
      </c>
      <c r="AH28" t="s">
        <v>677</v>
      </c>
      <c r="AI28" t="s">
        <v>675</v>
      </c>
      <c r="AJ28">
        <v>0</v>
      </c>
      <c r="AK28" t="s">
        <v>659</v>
      </c>
      <c r="AL28">
        <v>2</v>
      </c>
      <c r="AM28">
        <v>0</v>
      </c>
      <c r="AN28" t="s">
        <v>676</v>
      </c>
      <c r="AO28">
        <v>0</v>
      </c>
      <c r="AR28">
        <v>0</v>
      </c>
      <c r="BI28" t="s">
        <v>152</v>
      </c>
      <c r="BJ28" t="s">
        <v>50</v>
      </c>
      <c r="BK28">
        <v>6</v>
      </c>
      <c r="BL28">
        <f>TRUE</f>
        <v>0</v>
      </c>
      <c r="BM28">
        <f>IF(BL28,BK28,0)</f>
        <v>0</v>
      </c>
      <c r="BN28">
        <f>BN27+BM27</f>
        <v>0</v>
      </c>
    </row>
    <row r="29" spans="1:66">
      <c r="A29" t="s">
        <v>246</v>
      </c>
      <c r="B29" t="s">
        <v>109</v>
      </c>
      <c r="C29">
        <v>130</v>
      </c>
      <c r="D29">
        <v>0</v>
      </c>
      <c r="E29">
        <v>380</v>
      </c>
      <c r="F29">
        <v>30</v>
      </c>
      <c r="H29" t="s">
        <v>184</v>
      </c>
      <c r="I29">
        <v>13.5</v>
      </c>
      <c r="J29">
        <v>1</v>
      </c>
      <c r="K29" t="s">
        <v>185</v>
      </c>
      <c r="L29" t="s">
        <v>191</v>
      </c>
      <c r="M29" t="s">
        <v>192</v>
      </c>
      <c r="P29" t="s">
        <v>35</v>
      </c>
      <c r="R29" t="s">
        <v>217</v>
      </c>
      <c r="S29" t="s">
        <v>245</v>
      </c>
      <c r="W29">
        <f>IF(Calcul!$F$8,"lib_ok","lib")</f>
        <v>0</v>
      </c>
      <c r="X29">
        <f>NOT(OR(Calcul!$G$7,Calcul!$I$44))</f>
        <v>0</v>
      </c>
      <c r="Y29">
        <f>Rendu!$BN$12</f>
        <v>0</v>
      </c>
      <c r="AH29" t="s">
        <v>484</v>
      </c>
      <c r="AI29" t="s">
        <v>678</v>
      </c>
      <c r="AJ29">
        <v>0</v>
      </c>
      <c r="AL29">
        <v>0</v>
      </c>
      <c r="AM29">
        <v>0</v>
      </c>
      <c r="AN29" t="s">
        <v>679</v>
      </c>
      <c r="AO29">
        <v>0</v>
      </c>
      <c r="AR29">
        <v>0</v>
      </c>
      <c r="BI29" t="s">
        <v>153</v>
      </c>
      <c r="BJ29" t="s">
        <v>50</v>
      </c>
      <c r="BK29">
        <v>10</v>
      </c>
      <c r="BL29">
        <f>TRUE</f>
        <v>0</v>
      </c>
      <c r="BM29">
        <f>IF(BL29,BK29,0)</f>
        <v>0</v>
      </c>
      <c r="BN29">
        <f>BN28+BM28</f>
        <v>0</v>
      </c>
    </row>
    <row r="30" spans="1:66">
      <c r="A30" t="s">
        <v>247</v>
      </c>
      <c r="B30" t="s">
        <v>183</v>
      </c>
      <c r="C30">
        <v>128</v>
      </c>
      <c r="D30">
        <v>0</v>
      </c>
      <c r="E30">
        <v>24</v>
      </c>
      <c r="F30">
        <v>24</v>
      </c>
      <c r="G30">
        <v>8</v>
      </c>
      <c r="H30" t="s">
        <v>184</v>
      </c>
      <c r="I30">
        <v>12</v>
      </c>
      <c r="J30">
        <v>1</v>
      </c>
      <c r="K30" t="s">
        <v>196</v>
      </c>
      <c r="R30" t="s">
        <v>208</v>
      </c>
      <c r="S30" t="s">
        <v>248</v>
      </c>
      <c r="V30">
        <f>IF(Calcul!$F$9,"✓","")</f>
        <v>0</v>
      </c>
      <c r="W30">
        <f>IF(Calcul!$D$9,"cb_on",IF(Calcul!$F$9,"cb_auto","cb_off"))</f>
        <v>0</v>
      </c>
      <c r="X30">
        <f>NOT(OR(Calcul!$G$7,Calcul!$I$44))</f>
        <v>0</v>
      </c>
      <c r="Y30">
        <f>Rendu!$BN$13+3</f>
        <v>0</v>
      </c>
      <c r="AH30" t="s">
        <v>680</v>
      </c>
      <c r="AI30" t="s">
        <v>678</v>
      </c>
      <c r="AJ30">
        <v>0</v>
      </c>
      <c r="AL30">
        <v>0</v>
      </c>
      <c r="AM30">
        <v>0</v>
      </c>
      <c r="AN30" t="s">
        <v>679</v>
      </c>
      <c r="AO30">
        <v>0</v>
      </c>
      <c r="AR30">
        <v>0</v>
      </c>
      <c r="BI30" t="s">
        <v>149</v>
      </c>
      <c r="BJ30" t="s">
        <v>60</v>
      </c>
      <c r="BK30">
        <v>6</v>
      </c>
      <c r="BL30">
        <f>TRUE</f>
        <v>0</v>
      </c>
      <c r="BM30">
        <f>IF(BL30,BK30,0)</f>
        <v>0</v>
      </c>
      <c r="BN30">
        <f>BN29+BM29</f>
        <v>0</v>
      </c>
    </row>
    <row r="31" spans="1:66">
      <c r="A31" t="s">
        <v>249</v>
      </c>
      <c r="B31" t="s">
        <v>109</v>
      </c>
      <c r="C31">
        <v>160</v>
      </c>
      <c r="D31">
        <v>0</v>
      </c>
      <c r="E31">
        <v>350</v>
      </c>
      <c r="F31">
        <v>30</v>
      </c>
      <c r="H31" t="s">
        <v>184</v>
      </c>
      <c r="I31">
        <v>13.5</v>
      </c>
      <c r="J31">
        <v>0</v>
      </c>
      <c r="K31" t="s">
        <v>185</v>
      </c>
      <c r="L31" t="s">
        <v>191</v>
      </c>
      <c r="M31" t="s">
        <v>192</v>
      </c>
      <c r="P31" t="s">
        <v>38</v>
      </c>
      <c r="R31" t="s">
        <v>217</v>
      </c>
      <c r="S31" t="s">
        <v>248</v>
      </c>
      <c r="W31">
        <f>IF(Calcul!$F$9,"lib_ok","lib")</f>
        <v>0</v>
      </c>
      <c r="X31">
        <f>NOT(OR(Calcul!$G$7,Calcul!$I$44))</f>
        <v>0</v>
      </c>
      <c r="Y31">
        <f>Rendu!$BN$13</f>
        <v>0</v>
      </c>
      <c r="AH31" t="s">
        <v>681</v>
      </c>
      <c r="AI31" t="s">
        <v>678</v>
      </c>
      <c r="AJ31">
        <v>0</v>
      </c>
      <c r="AK31" t="s">
        <v>659</v>
      </c>
      <c r="AL31">
        <v>2</v>
      </c>
      <c r="AM31">
        <v>0</v>
      </c>
      <c r="AN31" t="s">
        <v>679</v>
      </c>
      <c r="AO31">
        <v>0</v>
      </c>
      <c r="AR31">
        <v>0</v>
      </c>
      <c r="BI31" t="s">
        <v>150</v>
      </c>
      <c r="BJ31" t="s">
        <v>60</v>
      </c>
      <c r="BK31">
        <v>38</v>
      </c>
      <c r="BL31">
        <f>TRUE</f>
        <v>0</v>
      </c>
      <c r="BM31">
        <f>IF(BL31,BK31,0)</f>
        <v>0</v>
      </c>
      <c r="BN31">
        <f>BN30+BM30</f>
        <v>0</v>
      </c>
    </row>
    <row r="32" spans="1:66">
      <c r="A32" t="s">
        <v>250</v>
      </c>
      <c r="B32" t="s">
        <v>183</v>
      </c>
      <c r="C32">
        <v>128</v>
      </c>
      <c r="D32">
        <v>0</v>
      </c>
      <c r="E32">
        <v>24</v>
      </c>
      <c r="F32">
        <v>24</v>
      </c>
      <c r="G32">
        <v>8</v>
      </c>
      <c r="H32" t="s">
        <v>184</v>
      </c>
      <c r="I32">
        <v>12</v>
      </c>
      <c r="J32">
        <v>1</v>
      </c>
      <c r="K32" t="s">
        <v>196</v>
      </c>
      <c r="R32" t="s">
        <v>208</v>
      </c>
      <c r="S32" t="s">
        <v>251</v>
      </c>
      <c r="V32">
        <f>IF(Calcul!$F$10,"✓","")</f>
        <v>0</v>
      </c>
      <c r="W32">
        <f>IF(Calcul!$D$10,"cb_on",IF(Calcul!$F$10,"cb_auto","cb_off"))</f>
        <v>0</v>
      </c>
      <c r="X32">
        <f>NOT(OR(Calcul!$G$7,Calcul!$I$44))</f>
        <v>0</v>
      </c>
      <c r="Y32">
        <f>Rendu!$BN$14+3</f>
        <v>0</v>
      </c>
      <c r="AH32" t="s">
        <v>682</v>
      </c>
      <c r="AI32" t="s">
        <v>683</v>
      </c>
      <c r="AJ32">
        <v>0</v>
      </c>
      <c r="AL32">
        <v>0</v>
      </c>
      <c r="AM32">
        <v>0</v>
      </c>
      <c r="AN32" t="s">
        <v>662</v>
      </c>
      <c r="AO32">
        <v>0</v>
      </c>
      <c r="AR32">
        <v>0</v>
      </c>
      <c r="BI32" t="s">
        <v>151</v>
      </c>
      <c r="BJ32" t="s">
        <v>62</v>
      </c>
      <c r="BK32">
        <v>30</v>
      </c>
      <c r="BL32">
        <f>NOT(OR(Calcul!$G$20,Calcul!$I$46))</f>
        <v>0</v>
      </c>
      <c r="BM32">
        <f>IF(BL32,BK32,0)</f>
        <v>0</v>
      </c>
      <c r="BN32">
        <f>BN31+BM31</f>
        <v>0</v>
      </c>
    </row>
    <row r="33" spans="1:66">
      <c r="A33" t="s">
        <v>252</v>
      </c>
      <c r="B33" t="s">
        <v>109</v>
      </c>
      <c r="C33">
        <v>160</v>
      </c>
      <c r="D33">
        <v>0</v>
      </c>
      <c r="E33">
        <v>350</v>
      </c>
      <c r="F33">
        <v>30</v>
      </c>
      <c r="H33" t="s">
        <v>184</v>
      </c>
      <c r="I33">
        <v>13.5</v>
      </c>
      <c r="J33">
        <v>0</v>
      </c>
      <c r="K33" t="s">
        <v>185</v>
      </c>
      <c r="L33" t="s">
        <v>191</v>
      </c>
      <c r="M33" t="s">
        <v>192</v>
      </c>
      <c r="P33" t="s">
        <v>40</v>
      </c>
      <c r="R33" t="s">
        <v>217</v>
      </c>
      <c r="S33" t="s">
        <v>251</v>
      </c>
      <c r="W33">
        <f>IF(Calcul!$F$10,"lib_ok","lib")</f>
        <v>0</v>
      </c>
      <c r="X33">
        <f>NOT(OR(Calcul!$G$7,Calcul!$I$44))</f>
        <v>0</v>
      </c>
      <c r="Y33">
        <f>Rendu!$BN$14</f>
        <v>0</v>
      </c>
      <c r="AH33" t="s">
        <v>684</v>
      </c>
      <c r="AI33" t="s">
        <v>683</v>
      </c>
      <c r="AJ33">
        <v>0</v>
      </c>
      <c r="AL33">
        <v>0</v>
      </c>
      <c r="AM33">
        <v>0</v>
      </c>
      <c r="AN33" t="s">
        <v>662</v>
      </c>
      <c r="AO33">
        <v>0</v>
      </c>
      <c r="AR33">
        <v>0</v>
      </c>
      <c r="BI33" t="s">
        <v>151</v>
      </c>
      <c r="BJ33" t="s">
        <v>64</v>
      </c>
      <c r="BK33">
        <v>30</v>
      </c>
      <c r="BL33">
        <f>NOT(OR(Calcul!$G$20,Calcul!$I$46))</f>
        <v>0</v>
      </c>
      <c r="BM33">
        <f>IF(BL33,BK33,0)</f>
        <v>0</v>
      </c>
      <c r="BN33">
        <f>BN32+BM32</f>
        <v>0</v>
      </c>
    </row>
    <row r="34" spans="1:66">
      <c r="A34" t="s">
        <v>253</v>
      </c>
      <c r="B34" t="s">
        <v>183</v>
      </c>
      <c r="C34">
        <v>128</v>
      </c>
      <c r="D34">
        <v>0</v>
      </c>
      <c r="E34">
        <v>24</v>
      </c>
      <c r="F34">
        <v>24</v>
      </c>
      <c r="G34">
        <v>8</v>
      </c>
      <c r="H34" t="s">
        <v>184</v>
      </c>
      <c r="I34">
        <v>12</v>
      </c>
      <c r="J34">
        <v>1</v>
      </c>
      <c r="K34" t="s">
        <v>196</v>
      </c>
      <c r="R34" t="s">
        <v>208</v>
      </c>
      <c r="S34" t="s">
        <v>254</v>
      </c>
      <c r="V34">
        <f>IF(Calcul!$F$11,"✓","")</f>
        <v>0</v>
      </c>
      <c r="W34">
        <f>IF(Calcul!$D$11,"cb_on",IF(Calcul!$F$11,"cb_auto","cb_off"))</f>
        <v>0</v>
      </c>
      <c r="X34">
        <f>NOT(OR(Calcul!$G$7,Calcul!$I$44))</f>
        <v>0</v>
      </c>
      <c r="Y34">
        <f>Rendu!$BN$15+3</f>
        <v>0</v>
      </c>
      <c r="AH34" t="s">
        <v>685</v>
      </c>
      <c r="AI34" t="s">
        <v>683</v>
      </c>
      <c r="AJ34">
        <v>0</v>
      </c>
      <c r="AK34" t="s">
        <v>659</v>
      </c>
      <c r="AL34">
        <v>2</v>
      </c>
      <c r="AM34">
        <v>0</v>
      </c>
      <c r="AN34" t="s">
        <v>662</v>
      </c>
      <c r="AO34">
        <v>0</v>
      </c>
      <c r="AR34">
        <v>0</v>
      </c>
      <c r="BI34" t="s">
        <v>151</v>
      </c>
      <c r="BJ34" t="s">
        <v>66</v>
      </c>
      <c r="BK34">
        <v>30</v>
      </c>
      <c r="BL34">
        <f>NOT(OR(Calcul!$G$20,Calcul!$I$46))</f>
        <v>0</v>
      </c>
      <c r="BM34">
        <f>IF(BL34,BK34,0)</f>
        <v>0</v>
      </c>
      <c r="BN34">
        <f>BN33+BM33</f>
        <v>0</v>
      </c>
    </row>
    <row r="35" spans="1:66">
      <c r="A35" t="s">
        <v>255</v>
      </c>
      <c r="B35" t="s">
        <v>109</v>
      </c>
      <c r="C35">
        <v>160</v>
      </c>
      <c r="D35">
        <v>0</v>
      </c>
      <c r="E35">
        <v>350</v>
      </c>
      <c r="F35">
        <v>30</v>
      </c>
      <c r="H35" t="s">
        <v>184</v>
      </c>
      <c r="I35">
        <v>13.5</v>
      </c>
      <c r="J35">
        <v>0</v>
      </c>
      <c r="K35" t="s">
        <v>185</v>
      </c>
      <c r="L35" t="s">
        <v>191</v>
      </c>
      <c r="M35" t="s">
        <v>192</v>
      </c>
      <c r="P35" t="s">
        <v>42</v>
      </c>
      <c r="R35" t="s">
        <v>217</v>
      </c>
      <c r="S35" t="s">
        <v>254</v>
      </c>
      <c r="W35">
        <f>IF(Calcul!$F$11,"lib_ok","lib")</f>
        <v>0</v>
      </c>
      <c r="X35">
        <f>NOT(OR(Calcul!$G$7,Calcul!$I$44))</f>
        <v>0</v>
      </c>
      <c r="Y35">
        <f>Rendu!$BN$15</f>
        <v>0</v>
      </c>
      <c r="AH35" t="s">
        <v>544</v>
      </c>
      <c r="AI35" t="s">
        <v>686</v>
      </c>
      <c r="AJ35">
        <v>0</v>
      </c>
      <c r="AL35">
        <v>0</v>
      </c>
      <c r="AM35">
        <v>0</v>
      </c>
      <c r="AN35" t="s">
        <v>687</v>
      </c>
      <c r="AO35">
        <v>0</v>
      </c>
      <c r="AR35">
        <v>0</v>
      </c>
      <c r="BI35" t="s">
        <v>152</v>
      </c>
      <c r="BJ35" t="s">
        <v>60</v>
      </c>
      <c r="BK35">
        <v>6</v>
      </c>
      <c r="BL35">
        <f>TRUE</f>
        <v>0</v>
      </c>
      <c r="BM35">
        <f>IF(BL35,BK35,0)</f>
        <v>0</v>
      </c>
      <c r="BN35">
        <f>BN34+BM34</f>
        <v>0</v>
      </c>
    </row>
    <row r="36" spans="1:66">
      <c r="A36" t="s">
        <v>256</v>
      </c>
      <c r="B36" t="s">
        <v>109</v>
      </c>
      <c r="C36">
        <v>100</v>
      </c>
      <c r="D36">
        <v>0</v>
      </c>
      <c r="E36">
        <v>60</v>
      </c>
      <c r="F36">
        <v>18</v>
      </c>
      <c r="H36" t="s">
        <v>184</v>
      </c>
      <c r="I36">
        <v>8.5</v>
      </c>
      <c r="J36">
        <v>1</v>
      </c>
      <c r="K36" t="s">
        <v>185</v>
      </c>
      <c r="L36" t="s">
        <v>191</v>
      </c>
      <c r="M36" t="s">
        <v>192</v>
      </c>
      <c r="O36">
        <v>1.5</v>
      </c>
      <c r="P36" t="s">
        <v>257</v>
      </c>
      <c r="R36" t="s">
        <v>154</v>
      </c>
      <c r="X36">
        <f>NOT(OR(Calcul!$G$7,Calcul!$I$44))</f>
        <v>0</v>
      </c>
      <c r="Y36">
        <f>Rendu!$BN$16</f>
        <v>0</v>
      </c>
      <c r="AH36" t="s">
        <v>688</v>
      </c>
      <c r="AI36" t="s">
        <v>686</v>
      </c>
      <c r="AJ36">
        <v>0</v>
      </c>
      <c r="AL36">
        <v>0</v>
      </c>
      <c r="AM36">
        <v>0</v>
      </c>
      <c r="AN36" t="s">
        <v>687</v>
      </c>
      <c r="AO36">
        <v>0</v>
      </c>
      <c r="AR36">
        <v>0</v>
      </c>
      <c r="BI36" t="s">
        <v>153</v>
      </c>
      <c r="BJ36" t="s">
        <v>60</v>
      </c>
      <c r="BK36">
        <v>10</v>
      </c>
      <c r="BL36">
        <f>TRUE</f>
        <v>0</v>
      </c>
      <c r="BM36">
        <f>IF(BL36,BK36,0)</f>
        <v>0</v>
      </c>
      <c r="BN36">
        <f>BN35+BM35</f>
        <v>0</v>
      </c>
    </row>
    <row r="37" spans="1:66">
      <c r="A37" t="s">
        <v>258</v>
      </c>
      <c r="B37" t="s">
        <v>183</v>
      </c>
      <c r="C37">
        <v>98</v>
      </c>
      <c r="D37">
        <v>0</v>
      </c>
      <c r="E37">
        <v>24</v>
      </c>
      <c r="F37">
        <v>24</v>
      </c>
      <c r="G37">
        <v>8</v>
      </c>
      <c r="H37" t="s">
        <v>184</v>
      </c>
      <c r="I37">
        <v>12</v>
      </c>
      <c r="J37">
        <v>1</v>
      </c>
      <c r="K37" t="s">
        <v>196</v>
      </c>
      <c r="R37" t="s">
        <v>208</v>
      </c>
      <c r="S37" t="s">
        <v>259</v>
      </c>
      <c r="V37">
        <f>IF(Calcul!$F$12,"✓","")</f>
        <v>0</v>
      </c>
      <c r="W37">
        <f>IF(Calcul!$D$12,"cb_on",IF(Calcul!$F$12,"cb_auto","cb_off"))</f>
        <v>0</v>
      </c>
      <c r="X37">
        <f>NOT(OR(Calcul!$G$7,Calcul!$I$44))</f>
        <v>0</v>
      </c>
      <c r="Y37">
        <f>Rendu!$BN$17+3</f>
        <v>0</v>
      </c>
      <c r="AH37" t="s">
        <v>689</v>
      </c>
      <c r="AI37" t="s">
        <v>686</v>
      </c>
      <c r="AJ37">
        <v>0</v>
      </c>
      <c r="AK37" t="s">
        <v>659</v>
      </c>
      <c r="AL37">
        <v>2</v>
      </c>
      <c r="AM37">
        <v>0</v>
      </c>
      <c r="AN37" t="s">
        <v>687</v>
      </c>
      <c r="AO37">
        <v>0</v>
      </c>
      <c r="AR37">
        <v>0</v>
      </c>
      <c r="BI37" t="s">
        <v>149</v>
      </c>
      <c r="BJ37" t="s">
        <v>68</v>
      </c>
      <c r="BK37">
        <v>6</v>
      </c>
      <c r="BL37">
        <f>TRUE</f>
        <v>0</v>
      </c>
      <c r="BM37">
        <f>IF(BL37,BK37,0)</f>
        <v>0</v>
      </c>
      <c r="BN37">
        <f>BN36+BM36</f>
        <v>0</v>
      </c>
    </row>
    <row r="38" spans="1:66">
      <c r="A38" t="s">
        <v>260</v>
      </c>
      <c r="B38" t="s">
        <v>109</v>
      </c>
      <c r="C38">
        <v>130</v>
      </c>
      <c r="D38">
        <v>0</v>
      </c>
      <c r="E38">
        <v>380</v>
      </c>
      <c r="F38">
        <v>30</v>
      </c>
      <c r="H38" t="s">
        <v>184</v>
      </c>
      <c r="I38">
        <v>13.5</v>
      </c>
      <c r="J38">
        <v>1</v>
      </c>
      <c r="K38" t="s">
        <v>185</v>
      </c>
      <c r="L38" t="s">
        <v>191</v>
      </c>
      <c r="M38" t="s">
        <v>192</v>
      </c>
      <c r="P38" t="s">
        <v>44</v>
      </c>
      <c r="R38" t="s">
        <v>217</v>
      </c>
      <c r="S38" t="s">
        <v>259</v>
      </c>
      <c r="W38">
        <f>IF(Calcul!$F$12,"lib_ok","lib")</f>
        <v>0</v>
      </c>
      <c r="X38">
        <f>NOT(OR(Calcul!$G$7,Calcul!$I$44))</f>
        <v>0</v>
      </c>
      <c r="Y38">
        <f>Rendu!$BN$17</f>
        <v>0</v>
      </c>
      <c r="AH38" t="s">
        <v>482</v>
      </c>
      <c r="AI38" t="s">
        <v>656</v>
      </c>
      <c r="AJ38">
        <v>0</v>
      </c>
      <c r="AL38">
        <v>0</v>
      </c>
      <c r="AM38">
        <v>0</v>
      </c>
      <c r="AN38" t="s">
        <v>659</v>
      </c>
      <c r="AO38">
        <v>0</v>
      </c>
      <c r="AP38" t="s">
        <v>652</v>
      </c>
      <c r="AR38">
        <v>0</v>
      </c>
      <c r="BI38" t="s">
        <v>150</v>
      </c>
      <c r="BJ38" t="s">
        <v>68</v>
      </c>
      <c r="BK38">
        <v>38</v>
      </c>
      <c r="BL38">
        <f>TRUE</f>
        <v>0</v>
      </c>
      <c r="BM38">
        <f>IF(BL38,BK38,0)</f>
        <v>0</v>
      </c>
      <c r="BN38">
        <f>BN37+BM37</f>
        <v>0</v>
      </c>
    </row>
    <row r="39" spans="1:66">
      <c r="A39" t="s">
        <v>261</v>
      </c>
      <c r="B39" t="s">
        <v>183</v>
      </c>
      <c r="C39">
        <v>128</v>
      </c>
      <c r="D39">
        <v>0</v>
      </c>
      <c r="E39">
        <v>24</v>
      </c>
      <c r="F39">
        <v>24</v>
      </c>
      <c r="G39">
        <v>8</v>
      </c>
      <c r="H39" t="s">
        <v>184</v>
      </c>
      <c r="I39">
        <v>12</v>
      </c>
      <c r="J39">
        <v>1</v>
      </c>
      <c r="K39" t="s">
        <v>196</v>
      </c>
      <c r="R39" t="s">
        <v>208</v>
      </c>
      <c r="S39" t="s">
        <v>262</v>
      </c>
      <c r="V39">
        <f>IF(Calcul!$F$13,"✓","")</f>
        <v>0</v>
      </c>
      <c r="W39">
        <f>IF(Calcul!$D$13,"cb_on",IF(Calcul!$F$13,"cb_auto","cb_off"))</f>
        <v>0</v>
      </c>
      <c r="X39">
        <f>NOT(OR(Calcul!$G$7,Calcul!$I$44))</f>
        <v>0</v>
      </c>
      <c r="Y39">
        <f>Rendu!$BN$18+3</f>
        <v>0</v>
      </c>
      <c r="AH39" t="s">
        <v>506</v>
      </c>
      <c r="AI39" t="s">
        <v>656</v>
      </c>
      <c r="AJ39">
        <v>0</v>
      </c>
      <c r="AL39">
        <v>0</v>
      </c>
      <c r="AM39">
        <v>0</v>
      </c>
      <c r="AO39">
        <v>0</v>
      </c>
      <c r="AP39" t="s">
        <v>506</v>
      </c>
      <c r="AR39">
        <v>0</v>
      </c>
      <c r="BI39" t="s">
        <v>151</v>
      </c>
      <c r="BJ39" t="s">
        <v>70</v>
      </c>
      <c r="BK39">
        <v>30</v>
      </c>
      <c r="BL39">
        <f>NOT(OR(Calcul!$G$24,Calcul!$I$47))</f>
        <v>0</v>
      </c>
      <c r="BM39">
        <f>IF(BL39,BK39,0)</f>
        <v>0</v>
      </c>
      <c r="BN39">
        <f>BN38+BM38</f>
        <v>0</v>
      </c>
    </row>
    <row r="40" spans="1:66">
      <c r="A40" t="s">
        <v>263</v>
      </c>
      <c r="B40" t="s">
        <v>109</v>
      </c>
      <c r="C40">
        <v>160</v>
      </c>
      <c r="D40">
        <v>0</v>
      </c>
      <c r="E40">
        <v>350</v>
      </c>
      <c r="F40">
        <v>30</v>
      </c>
      <c r="H40" t="s">
        <v>184</v>
      </c>
      <c r="I40">
        <v>13.5</v>
      </c>
      <c r="J40">
        <v>0</v>
      </c>
      <c r="K40" t="s">
        <v>185</v>
      </c>
      <c r="L40" t="s">
        <v>191</v>
      </c>
      <c r="M40" t="s">
        <v>192</v>
      </c>
      <c r="P40" t="s">
        <v>47</v>
      </c>
      <c r="R40" t="s">
        <v>217</v>
      </c>
      <c r="S40" t="s">
        <v>262</v>
      </c>
      <c r="W40">
        <f>IF(Calcul!$F$13,"lib_ok","lib")</f>
        <v>0</v>
      </c>
      <c r="X40">
        <f>NOT(OR(Calcul!$G$7,Calcul!$I$44))</f>
        <v>0</v>
      </c>
      <c r="Y40">
        <f>Rendu!$BN$18</f>
        <v>0</v>
      </c>
      <c r="AH40" t="s">
        <v>438</v>
      </c>
      <c r="AJ40">
        <v>0</v>
      </c>
      <c r="AL40">
        <v>0</v>
      </c>
      <c r="AM40">
        <v>0</v>
      </c>
      <c r="AN40" t="s">
        <v>653</v>
      </c>
      <c r="AO40">
        <v>0</v>
      </c>
      <c r="AR40">
        <v>0</v>
      </c>
      <c r="BI40" t="s">
        <v>151</v>
      </c>
      <c r="BJ40" t="s">
        <v>72</v>
      </c>
      <c r="BK40">
        <v>30</v>
      </c>
      <c r="BL40">
        <f>NOT(OR(Calcul!$G$24,Calcul!$I$47))</f>
        <v>0</v>
      </c>
      <c r="BM40">
        <f>IF(BL40,BK40,0)</f>
        <v>0</v>
      </c>
      <c r="BN40">
        <f>BN39+BM39</f>
        <v>0</v>
      </c>
    </row>
    <row r="41" spans="1:66">
      <c r="A41" t="s">
        <v>264</v>
      </c>
      <c r="B41" t="s">
        <v>183</v>
      </c>
      <c r="C41">
        <v>128</v>
      </c>
      <c r="D41">
        <v>0</v>
      </c>
      <c r="E41">
        <v>24</v>
      </c>
      <c r="F41">
        <v>24</v>
      </c>
      <c r="G41">
        <v>8</v>
      </c>
      <c r="H41" t="s">
        <v>184</v>
      </c>
      <c r="I41">
        <v>12</v>
      </c>
      <c r="J41">
        <v>1</v>
      </c>
      <c r="K41" t="s">
        <v>196</v>
      </c>
      <c r="R41" t="s">
        <v>208</v>
      </c>
      <c r="S41" t="s">
        <v>265</v>
      </c>
      <c r="V41">
        <f>IF(Calcul!$F$14,"✓","")</f>
        <v>0</v>
      </c>
      <c r="W41">
        <f>IF(Calcul!$D$14,"cb_on",IF(Calcul!$F$14,"cb_auto","cb_off"))</f>
        <v>0</v>
      </c>
      <c r="X41">
        <f>NOT(OR(Calcul!$G$7,Calcul!$I$44))</f>
        <v>0</v>
      </c>
      <c r="Y41">
        <f>Rendu!$BN$19+3</f>
        <v>0</v>
      </c>
      <c r="AH41" t="s">
        <v>503</v>
      </c>
      <c r="AJ41">
        <v>0</v>
      </c>
      <c r="AL41">
        <v>0</v>
      </c>
      <c r="AM41">
        <v>0</v>
      </c>
      <c r="AN41" t="s">
        <v>659</v>
      </c>
      <c r="AO41">
        <v>0</v>
      </c>
      <c r="AR41">
        <v>0</v>
      </c>
      <c r="BI41" t="s">
        <v>151</v>
      </c>
      <c r="BJ41" t="s">
        <v>74</v>
      </c>
      <c r="BK41">
        <v>30</v>
      </c>
      <c r="BL41">
        <f>NOT(OR(Calcul!$G$24,Calcul!$I$47))</f>
        <v>0</v>
      </c>
      <c r="BM41">
        <f>IF(BL41,BK41,0)</f>
        <v>0</v>
      </c>
      <c r="BN41">
        <f>BN40+BM40</f>
        <v>0</v>
      </c>
    </row>
    <row r="42" spans="1:66">
      <c r="A42" t="s">
        <v>266</v>
      </c>
      <c r="B42" t="s">
        <v>109</v>
      </c>
      <c r="C42">
        <v>160</v>
      </c>
      <c r="D42">
        <v>0</v>
      </c>
      <c r="E42">
        <v>350</v>
      </c>
      <c r="F42">
        <v>30</v>
      </c>
      <c r="H42" t="s">
        <v>184</v>
      </c>
      <c r="I42">
        <v>13.5</v>
      </c>
      <c r="J42">
        <v>0</v>
      </c>
      <c r="K42" t="s">
        <v>185</v>
      </c>
      <c r="L42" t="s">
        <v>191</v>
      </c>
      <c r="M42" t="s">
        <v>192</v>
      </c>
      <c r="P42" t="s">
        <v>49</v>
      </c>
      <c r="R42" t="s">
        <v>217</v>
      </c>
      <c r="S42" t="s">
        <v>265</v>
      </c>
      <c r="W42">
        <f>IF(Calcul!$F$14,"lib_ok","lib")</f>
        <v>0</v>
      </c>
      <c r="X42">
        <f>NOT(OR(Calcul!$G$7,Calcul!$I$44))</f>
        <v>0</v>
      </c>
      <c r="Y42">
        <f>Rendu!$BN$19</f>
        <v>0</v>
      </c>
      <c r="AH42" t="s">
        <v>16</v>
      </c>
      <c r="AJ42">
        <v>0</v>
      </c>
      <c r="AK42" t="s">
        <v>690</v>
      </c>
      <c r="AL42">
        <v>1</v>
      </c>
      <c r="AM42">
        <v>0</v>
      </c>
      <c r="AO42">
        <v>0</v>
      </c>
      <c r="AR42">
        <v>0</v>
      </c>
      <c r="BI42" t="s">
        <v>151</v>
      </c>
      <c r="BJ42" t="s">
        <v>76</v>
      </c>
      <c r="BK42">
        <v>30</v>
      </c>
      <c r="BL42">
        <f>NOT(OR(Calcul!$G$24,Calcul!$I$47))</f>
        <v>0</v>
      </c>
      <c r="BM42">
        <f>IF(BL42,BK42,0)</f>
        <v>0</v>
      </c>
      <c r="BN42">
        <f>BN41+BM41</f>
        <v>0</v>
      </c>
    </row>
    <row r="43" spans="1:66">
      <c r="A43" t="s">
        <v>267</v>
      </c>
      <c r="B43" t="s">
        <v>183</v>
      </c>
      <c r="C43">
        <v>32</v>
      </c>
      <c r="D43">
        <v>103</v>
      </c>
      <c r="E43">
        <v>503</v>
      </c>
      <c r="F43">
        <v>50</v>
      </c>
      <c r="G43">
        <v>16</v>
      </c>
      <c r="H43" t="s">
        <v>184</v>
      </c>
      <c r="R43" t="s">
        <v>200</v>
      </c>
      <c r="W43">
        <f>IF(Calcul!$B$52=3,"grp_actif","grp")</f>
        <v>0</v>
      </c>
      <c r="Y43">
        <f>Rendu!$BN$22</f>
        <v>0</v>
      </c>
      <c r="Z43">
        <f>SUM(Rendu!$BM$22:Rendu!$BM$28)</f>
        <v>0</v>
      </c>
      <c r="AH43" t="s">
        <v>567</v>
      </c>
      <c r="AJ43">
        <v>0</v>
      </c>
      <c r="AK43" t="s">
        <v>690</v>
      </c>
      <c r="AL43">
        <v>2</v>
      </c>
      <c r="AM43">
        <v>0</v>
      </c>
      <c r="AO43">
        <v>0</v>
      </c>
      <c r="AR43">
        <v>0</v>
      </c>
      <c r="BI43" t="s">
        <v>152</v>
      </c>
      <c r="BJ43" t="s">
        <v>68</v>
      </c>
      <c r="BK43">
        <v>6</v>
      </c>
      <c r="BL43">
        <f>TRUE</f>
        <v>0</v>
      </c>
      <c r="BM43">
        <f>IF(BL43,BK43,0)</f>
        <v>0</v>
      </c>
      <c r="BN43">
        <f>BN42+BM42</f>
        <v>0</v>
      </c>
    </row>
    <row r="44" spans="1:66">
      <c r="A44" t="s">
        <v>268</v>
      </c>
      <c r="B44" t="s">
        <v>202</v>
      </c>
      <c r="C44">
        <v>54</v>
      </c>
      <c r="D44">
        <v>103</v>
      </c>
      <c r="E44">
        <v>0</v>
      </c>
      <c r="F44">
        <v>40</v>
      </c>
      <c r="H44" t="s">
        <v>184</v>
      </c>
      <c r="R44" t="s">
        <v>202</v>
      </c>
      <c r="X44">
        <f>NOT(OR(Calcul!$G$15,Calcul!$I$45))</f>
        <v>0</v>
      </c>
      <c r="Y44">
        <f>Rendu!$BN$24+2</f>
        <v>0</v>
      </c>
      <c r="Z44">
        <f>Rendu!$BN$28-Rendu!$BN$24-6</f>
        <v>0</v>
      </c>
      <c r="AH44" t="s">
        <v>202</v>
      </c>
      <c r="AJ44">
        <v>0</v>
      </c>
      <c r="AK44" t="s">
        <v>691</v>
      </c>
      <c r="AL44">
        <v>1.5</v>
      </c>
      <c r="AM44">
        <v>0</v>
      </c>
      <c r="AO44">
        <v>0</v>
      </c>
      <c r="AR44">
        <v>0</v>
      </c>
      <c r="BI44" t="s">
        <v>153</v>
      </c>
      <c r="BJ44" t="s">
        <v>68</v>
      </c>
      <c r="BK44">
        <v>10</v>
      </c>
      <c r="BL44">
        <f>TRUE</f>
        <v>0</v>
      </c>
      <c r="BM44">
        <f>IF(BL44,BK44,0)</f>
        <v>0</v>
      </c>
      <c r="BN44">
        <f>BN43+BM43</f>
        <v>0</v>
      </c>
    </row>
    <row r="45" spans="1:66">
      <c r="A45" t="s">
        <v>269</v>
      </c>
      <c r="B45" t="s">
        <v>183</v>
      </c>
      <c r="C45">
        <v>42</v>
      </c>
      <c r="D45">
        <v>0</v>
      </c>
      <c r="E45">
        <v>26</v>
      </c>
      <c r="F45">
        <v>26</v>
      </c>
      <c r="G45">
        <v>9</v>
      </c>
      <c r="H45" t="s">
        <v>184</v>
      </c>
      <c r="I45">
        <v>13</v>
      </c>
      <c r="K45" t="s">
        <v>196</v>
      </c>
      <c r="P45" t="s">
        <v>204</v>
      </c>
      <c r="R45" t="s">
        <v>205</v>
      </c>
      <c r="S45" t="s">
        <v>270</v>
      </c>
      <c r="V45">
        <f>IF(OR(Calcul!$G$15,Calcul!$I$45),"▸","▾")</f>
        <v>0</v>
      </c>
      <c r="W45">
        <f>IF(Calcul!$I$45,"chev_lock","chev")</f>
        <v>0</v>
      </c>
      <c r="Y45">
        <f>Rendu!$BN$23+6</f>
        <v>0</v>
      </c>
      <c r="AH45" t="s">
        <v>692</v>
      </c>
      <c r="AI45" t="s">
        <v>656</v>
      </c>
      <c r="AJ45">
        <v>0</v>
      </c>
      <c r="AL45">
        <v>0</v>
      </c>
      <c r="AM45">
        <v>0</v>
      </c>
      <c r="AN45" t="s">
        <v>659</v>
      </c>
      <c r="AO45">
        <v>0</v>
      </c>
      <c r="AP45" t="s">
        <v>506</v>
      </c>
      <c r="AR45">
        <v>0</v>
      </c>
      <c r="BI45" t="s">
        <v>149</v>
      </c>
      <c r="BJ45" t="s">
        <v>78</v>
      </c>
      <c r="BK45">
        <v>6</v>
      </c>
      <c r="BL45">
        <f>TRUE</f>
        <v>0</v>
      </c>
      <c r="BM45">
        <f>IF(BL45,BK45,0)</f>
        <v>0</v>
      </c>
      <c r="BN45">
        <f>BN44+BM44</f>
        <v>0</v>
      </c>
    </row>
    <row r="46" spans="1:66">
      <c r="A46" t="s">
        <v>271</v>
      </c>
      <c r="B46" t="s">
        <v>183</v>
      </c>
      <c r="C46">
        <v>78</v>
      </c>
      <c r="D46">
        <v>0</v>
      </c>
      <c r="E46">
        <v>24</v>
      </c>
      <c r="F46">
        <v>24</v>
      </c>
      <c r="G46">
        <v>8</v>
      </c>
      <c r="H46" t="s">
        <v>184</v>
      </c>
      <c r="I46">
        <v>12</v>
      </c>
      <c r="J46">
        <v>1</v>
      </c>
      <c r="K46" t="s">
        <v>196</v>
      </c>
      <c r="R46" t="s">
        <v>208</v>
      </c>
      <c r="S46" t="s">
        <v>272</v>
      </c>
      <c r="V46">
        <f>IF(Calcul!$F$15,"✓","")</f>
        <v>0</v>
      </c>
      <c r="W46">
        <f>IF(Calcul!$I$45,"cb_lock",IF(Calcul!$D$15,"cb_on",IF(Calcul!$F$15,"cb_auto","cb_off")))</f>
        <v>0</v>
      </c>
      <c r="Y46">
        <f>Rendu!$BN$23+7</f>
        <v>0</v>
      </c>
      <c r="AH46" t="s">
        <v>441</v>
      </c>
      <c r="AI46" t="s">
        <v>656</v>
      </c>
      <c r="AJ46">
        <v>0</v>
      </c>
      <c r="AL46">
        <v>0</v>
      </c>
      <c r="AM46">
        <v>0</v>
      </c>
      <c r="AN46" t="s">
        <v>653</v>
      </c>
      <c r="AO46">
        <v>0.35</v>
      </c>
      <c r="AP46" t="s">
        <v>506</v>
      </c>
      <c r="AR46">
        <v>0</v>
      </c>
      <c r="BI46" t="s">
        <v>150</v>
      </c>
      <c r="BJ46" t="s">
        <v>78</v>
      </c>
      <c r="BK46">
        <v>38</v>
      </c>
      <c r="BL46">
        <f>TRUE</f>
        <v>0</v>
      </c>
      <c r="BM46">
        <f>IF(BL46,BK46,0)</f>
        <v>0</v>
      </c>
      <c r="BN46">
        <f>BN45+BM45</f>
        <v>0</v>
      </c>
    </row>
    <row r="47" spans="1:66">
      <c r="A47" t="s">
        <v>273</v>
      </c>
      <c r="B47" t="s">
        <v>109</v>
      </c>
      <c r="C47">
        <v>108</v>
      </c>
      <c r="D47">
        <v>0</v>
      </c>
      <c r="E47">
        <v>16</v>
      </c>
      <c r="F47">
        <v>38</v>
      </c>
      <c r="H47" t="s">
        <v>211</v>
      </c>
      <c r="I47">
        <v>11</v>
      </c>
      <c r="J47">
        <v>0</v>
      </c>
      <c r="K47" t="s">
        <v>212</v>
      </c>
      <c r="L47" t="s">
        <v>191</v>
      </c>
      <c r="M47" t="s">
        <v>192</v>
      </c>
      <c r="P47" t="s">
        <v>274</v>
      </c>
      <c r="R47" t="s">
        <v>214</v>
      </c>
      <c r="S47" t="s">
        <v>275</v>
      </c>
      <c r="W47">
        <f>IF(Calcul!$I$45,"num_lock","num")</f>
        <v>0</v>
      </c>
      <c r="Y47">
        <f>Rendu!$BN$23</f>
        <v>0</v>
      </c>
      <c r="AH47" t="s">
        <v>693</v>
      </c>
      <c r="AJ47">
        <v>0</v>
      </c>
      <c r="AL47">
        <v>0</v>
      </c>
      <c r="AM47">
        <v>0</v>
      </c>
      <c r="AN47" t="s">
        <v>659</v>
      </c>
      <c r="AO47">
        <v>0</v>
      </c>
      <c r="AR47">
        <v>0</v>
      </c>
      <c r="BI47" t="s">
        <v>151</v>
      </c>
      <c r="BJ47" t="s">
        <v>80</v>
      </c>
      <c r="BK47">
        <v>30</v>
      </c>
      <c r="BL47">
        <f>NOT(OR(Calcul!$G$29,Calcul!$I$48))</f>
        <v>0</v>
      </c>
      <c r="BM47">
        <f>IF(BL47,BK47,0)</f>
        <v>0</v>
      </c>
      <c r="BN47">
        <f>BN46+BM46</f>
        <v>0</v>
      </c>
    </row>
    <row r="48" spans="1:66">
      <c r="A48" t="s">
        <v>276</v>
      </c>
      <c r="B48" t="s">
        <v>109</v>
      </c>
      <c r="C48">
        <v>130</v>
      </c>
      <c r="D48">
        <v>0</v>
      </c>
      <c r="E48">
        <v>360</v>
      </c>
      <c r="F48">
        <v>38</v>
      </c>
      <c r="H48" t="s">
        <v>184</v>
      </c>
      <c r="I48">
        <v>15</v>
      </c>
      <c r="J48">
        <v>1</v>
      </c>
      <c r="K48" t="s">
        <v>185</v>
      </c>
      <c r="L48" t="s">
        <v>191</v>
      </c>
      <c r="M48" t="s">
        <v>192</v>
      </c>
      <c r="P48" t="s">
        <v>51</v>
      </c>
      <c r="R48" t="s">
        <v>217</v>
      </c>
      <c r="S48" t="s">
        <v>275</v>
      </c>
      <c r="W48">
        <f>IF(Calcul!$I$45,"lib_lock",IF(Calcul!$F$15,"lib_ok","lib"))</f>
        <v>0</v>
      </c>
      <c r="Y48">
        <f>Rendu!$BN$23</f>
        <v>0</v>
      </c>
      <c r="AH48" t="s">
        <v>694</v>
      </c>
      <c r="AJ48">
        <v>0</v>
      </c>
      <c r="AL48">
        <v>0</v>
      </c>
      <c r="AM48">
        <v>0</v>
      </c>
      <c r="AN48" t="s">
        <v>653</v>
      </c>
      <c r="AO48">
        <v>0.4</v>
      </c>
      <c r="AR48">
        <v>0</v>
      </c>
      <c r="BI48" t="s">
        <v>151</v>
      </c>
      <c r="BJ48" t="s">
        <v>83</v>
      </c>
      <c r="BK48">
        <v>30</v>
      </c>
      <c r="BL48">
        <f>NOT(OR(Calcul!$G$29,Calcul!$I$48))</f>
        <v>0</v>
      </c>
      <c r="BM48">
        <f>IF(BL48,BK48,0)</f>
        <v>0</v>
      </c>
      <c r="BN48">
        <f>BN47+BM47</f>
        <v>0</v>
      </c>
    </row>
    <row r="49" spans="1:66">
      <c r="A49" t="s">
        <v>277</v>
      </c>
      <c r="B49" t="s">
        <v>219</v>
      </c>
      <c r="C49">
        <v>509</v>
      </c>
      <c r="D49">
        <v>0</v>
      </c>
      <c r="E49">
        <v>12</v>
      </c>
      <c r="F49">
        <v>12</v>
      </c>
      <c r="H49" t="s">
        <v>184</v>
      </c>
      <c r="R49" t="s">
        <v>220</v>
      </c>
      <c r="W49">
        <f>IF(Calcul!$I$45,"led_off_lock",IF(Calcul!$L$45="ok","led_on","led_off"))</f>
        <v>0</v>
      </c>
      <c r="Y49">
        <f>Rendu!$BN$23+13</f>
        <v>0</v>
      </c>
      <c r="AH49" t="s">
        <v>532</v>
      </c>
      <c r="AI49" t="s">
        <v>658</v>
      </c>
      <c r="AJ49">
        <v>0</v>
      </c>
      <c r="AL49">
        <v>0</v>
      </c>
      <c r="AM49">
        <v>0</v>
      </c>
      <c r="AN49" t="s">
        <v>695</v>
      </c>
      <c r="AO49">
        <v>0</v>
      </c>
      <c r="AP49" t="s">
        <v>652</v>
      </c>
      <c r="AR49">
        <v>0</v>
      </c>
      <c r="BI49" t="s">
        <v>151</v>
      </c>
      <c r="BJ49" t="s">
        <v>85</v>
      </c>
      <c r="BK49">
        <v>30</v>
      </c>
      <c r="BL49">
        <f>NOT(OR(Calcul!$G$29,Calcul!$I$48))</f>
        <v>0</v>
      </c>
      <c r="BM49">
        <f>IF(BL49,BK49,0)</f>
        <v>0</v>
      </c>
      <c r="BN49">
        <f>BN48+BM48</f>
        <v>0</v>
      </c>
    </row>
    <row r="50" spans="1:66">
      <c r="A50" t="s">
        <v>278</v>
      </c>
      <c r="B50" t="s">
        <v>183</v>
      </c>
      <c r="C50">
        <v>98</v>
      </c>
      <c r="D50">
        <v>0</v>
      </c>
      <c r="E50">
        <v>24</v>
      </c>
      <c r="F50">
        <v>24</v>
      </c>
      <c r="G50">
        <v>8</v>
      </c>
      <c r="H50" t="s">
        <v>184</v>
      </c>
      <c r="I50">
        <v>12</v>
      </c>
      <c r="J50">
        <v>1</v>
      </c>
      <c r="K50" t="s">
        <v>196</v>
      </c>
      <c r="R50" t="s">
        <v>208</v>
      </c>
      <c r="S50" t="s">
        <v>279</v>
      </c>
      <c r="V50">
        <f>IF(Calcul!$F$16,"✓","")</f>
        <v>0</v>
      </c>
      <c r="W50">
        <f>IF(Calcul!$D$16,"cb_on",IF(Calcul!$F$16,"cb_auto","cb_off"))</f>
        <v>0</v>
      </c>
      <c r="X50">
        <f>NOT(OR(Calcul!$G$15,Calcul!$I$45))</f>
        <v>0</v>
      </c>
      <c r="Y50">
        <f>Rendu!$BN$24+3</f>
        <v>0</v>
      </c>
      <c r="AH50" t="s">
        <v>696</v>
      </c>
      <c r="AI50" t="s">
        <v>658</v>
      </c>
      <c r="AJ50">
        <v>0.65</v>
      </c>
      <c r="AL50">
        <v>0</v>
      </c>
      <c r="AM50">
        <v>0</v>
      </c>
      <c r="AO50">
        <v>0</v>
      </c>
      <c r="AR50">
        <v>0</v>
      </c>
      <c r="BI50" t="s">
        <v>154</v>
      </c>
      <c r="BJ50" t="s">
        <v>87</v>
      </c>
      <c r="BK50">
        <v>18</v>
      </c>
      <c r="BL50">
        <f>NOT(OR(Calcul!$G$29,Calcul!$I$48))</f>
        <v>0</v>
      </c>
      <c r="BM50">
        <f>IF(BL50,BK50,0)</f>
        <v>0</v>
      </c>
      <c r="BN50">
        <f>BN49+BM49</f>
        <v>0</v>
      </c>
    </row>
    <row r="51" spans="1:66">
      <c r="A51" t="s">
        <v>280</v>
      </c>
      <c r="B51" t="s">
        <v>109</v>
      </c>
      <c r="C51">
        <v>130</v>
      </c>
      <c r="D51">
        <v>0</v>
      </c>
      <c r="E51">
        <v>380</v>
      </c>
      <c r="F51">
        <v>30</v>
      </c>
      <c r="H51" t="s">
        <v>184</v>
      </c>
      <c r="I51">
        <v>13.5</v>
      </c>
      <c r="J51">
        <v>1</v>
      </c>
      <c r="K51" t="s">
        <v>185</v>
      </c>
      <c r="L51" t="s">
        <v>191</v>
      </c>
      <c r="M51" t="s">
        <v>192</v>
      </c>
      <c r="P51" t="s">
        <v>53</v>
      </c>
      <c r="R51" t="s">
        <v>217</v>
      </c>
      <c r="S51" t="s">
        <v>279</v>
      </c>
      <c r="W51">
        <f>IF(Calcul!$F$16,"lib_ok","lib")</f>
        <v>0</v>
      </c>
      <c r="X51">
        <f>NOT(OR(Calcul!$G$15,Calcul!$I$45))</f>
        <v>0</v>
      </c>
      <c r="Y51">
        <f>Rendu!$BN$24</f>
        <v>0</v>
      </c>
      <c r="AH51" t="s">
        <v>697</v>
      </c>
      <c r="AI51" t="s">
        <v>662</v>
      </c>
      <c r="AJ51">
        <v>0</v>
      </c>
      <c r="AL51">
        <v>0</v>
      </c>
      <c r="AM51">
        <v>0</v>
      </c>
      <c r="AN51" t="s">
        <v>646</v>
      </c>
      <c r="AO51">
        <v>0</v>
      </c>
      <c r="AP51" t="s">
        <v>652</v>
      </c>
      <c r="AR51">
        <v>0</v>
      </c>
      <c r="BI51" t="s">
        <v>151</v>
      </c>
      <c r="BJ51" t="s">
        <v>87</v>
      </c>
      <c r="BK51">
        <v>30</v>
      </c>
      <c r="BL51">
        <f>NOT(OR(Calcul!$G$29,Calcul!$I$48))</f>
        <v>0</v>
      </c>
      <c r="BM51">
        <f>IF(BL51,BK51,0)</f>
        <v>0</v>
      </c>
      <c r="BN51">
        <f>BN50+BM50</f>
        <v>0</v>
      </c>
    </row>
    <row r="52" spans="1:66">
      <c r="A52" t="s">
        <v>281</v>
      </c>
      <c r="B52" t="s">
        <v>183</v>
      </c>
      <c r="C52">
        <v>98</v>
      </c>
      <c r="D52">
        <v>0</v>
      </c>
      <c r="E52">
        <v>24</v>
      </c>
      <c r="F52">
        <v>24</v>
      </c>
      <c r="G52">
        <v>8</v>
      </c>
      <c r="H52" t="s">
        <v>184</v>
      </c>
      <c r="I52">
        <v>12</v>
      </c>
      <c r="J52">
        <v>1</v>
      </c>
      <c r="K52" t="s">
        <v>196</v>
      </c>
      <c r="R52" t="s">
        <v>208</v>
      </c>
      <c r="S52" t="s">
        <v>282</v>
      </c>
      <c r="V52">
        <f>IF(Calcul!$F$17,"✓","")</f>
        <v>0</v>
      </c>
      <c r="W52">
        <f>IF(Calcul!$D$17,"cb_on",IF(Calcul!$F$17,"cb_auto","cb_off"))</f>
        <v>0</v>
      </c>
      <c r="X52">
        <f>NOT(OR(Calcul!$G$15,Calcul!$I$45))</f>
        <v>0</v>
      </c>
      <c r="Y52">
        <f>Rendu!$BN$25+3</f>
        <v>0</v>
      </c>
      <c r="AH52" t="s">
        <v>535</v>
      </c>
      <c r="AJ52">
        <v>0</v>
      </c>
      <c r="AK52" t="s">
        <v>695</v>
      </c>
      <c r="AL52">
        <v>1.2</v>
      </c>
      <c r="AM52">
        <v>0</v>
      </c>
      <c r="AO52">
        <v>0</v>
      </c>
      <c r="AR52">
        <v>0</v>
      </c>
      <c r="BI52" t="s">
        <v>151</v>
      </c>
      <c r="BJ52" t="s">
        <v>90</v>
      </c>
      <c r="BK52">
        <v>30</v>
      </c>
      <c r="BL52">
        <f>NOT(OR(Calcul!$G$29,Calcul!$I$48))</f>
        <v>0</v>
      </c>
      <c r="BM52">
        <f>IF(BL52,BK52,0)</f>
        <v>0</v>
      </c>
      <c r="BN52">
        <f>BN51+BM51</f>
        <v>0</v>
      </c>
    </row>
    <row r="53" spans="1:66">
      <c r="A53" t="s">
        <v>283</v>
      </c>
      <c r="B53" t="s">
        <v>109</v>
      </c>
      <c r="C53">
        <v>130</v>
      </c>
      <c r="D53">
        <v>0</v>
      </c>
      <c r="E53">
        <v>380</v>
      </c>
      <c r="F53">
        <v>30</v>
      </c>
      <c r="H53" t="s">
        <v>184</v>
      </c>
      <c r="I53">
        <v>13.5</v>
      </c>
      <c r="J53">
        <v>1</v>
      </c>
      <c r="K53" t="s">
        <v>185</v>
      </c>
      <c r="L53" t="s">
        <v>191</v>
      </c>
      <c r="M53" t="s">
        <v>192</v>
      </c>
      <c r="P53" t="s">
        <v>55</v>
      </c>
      <c r="R53" t="s">
        <v>217</v>
      </c>
      <c r="S53" t="s">
        <v>282</v>
      </c>
      <c r="W53">
        <f>IF(Calcul!$F$17,"lib_ok","lib")</f>
        <v>0</v>
      </c>
      <c r="X53">
        <f>NOT(OR(Calcul!$G$15,Calcul!$I$45))</f>
        <v>0</v>
      </c>
      <c r="Y53">
        <f>Rendu!$BN$25</f>
        <v>0</v>
      </c>
      <c r="AH53" t="s">
        <v>698</v>
      </c>
      <c r="AJ53">
        <v>0</v>
      </c>
      <c r="AK53" t="s">
        <v>695</v>
      </c>
      <c r="AL53">
        <v>1.2</v>
      </c>
      <c r="AM53">
        <v>0.65</v>
      </c>
      <c r="AO53">
        <v>0</v>
      </c>
      <c r="AR53">
        <v>0</v>
      </c>
      <c r="BI53" t="s">
        <v>151</v>
      </c>
      <c r="BJ53" t="s">
        <v>92</v>
      </c>
      <c r="BK53">
        <v>30</v>
      </c>
      <c r="BL53">
        <f>NOT(OR(Calcul!$G$29,Calcul!$I$48))</f>
        <v>0</v>
      </c>
      <c r="BM53">
        <f>IF(BL53,BK53,0)</f>
        <v>0</v>
      </c>
      <c r="BN53">
        <f>BN52+BM52</f>
        <v>0</v>
      </c>
    </row>
    <row r="54" spans="1:66">
      <c r="A54" t="s">
        <v>284</v>
      </c>
      <c r="B54" t="s">
        <v>183</v>
      </c>
      <c r="C54">
        <v>98</v>
      </c>
      <c r="D54">
        <v>0</v>
      </c>
      <c r="E54">
        <v>24</v>
      </c>
      <c r="F54">
        <v>24</v>
      </c>
      <c r="G54">
        <v>8</v>
      </c>
      <c r="H54" t="s">
        <v>184</v>
      </c>
      <c r="I54">
        <v>12</v>
      </c>
      <c r="J54">
        <v>1</v>
      </c>
      <c r="K54" t="s">
        <v>196</v>
      </c>
      <c r="R54" t="s">
        <v>208</v>
      </c>
      <c r="S54" t="s">
        <v>285</v>
      </c>
      <c r="V54">
        <f>IF(Calcul!$F$18,"✓","")</f>
        <v>0</v>
      </c>
      <c r="W54">
        <f>IF(Calcul!$D$18,"cb_on",IF(Calcul!$F$18,"cb_auto","cb_off"))</f>
        <v>0</v>
      </c>
      <c r="X54">
        <f>NOT(OR(Calcul!$G$15,Calcul!$I$45))</f>
        <v>0</v>
      </c>
      <c r="Y54">
        <f>Rendu!$BN$26+3</f>
        <v>0</v>
      </c>
      <c r="AH54" t="s">
        <v>537</v>
      </c>
      <c r="AI54" t="s">
        <v>658</v>
      </c>
      <c r="AJ54">
        <v>0</v>
      </c>
      <c r="AK54" t="s">
        <v>695</v>
      </c>
      <c r="AL54">
        <v>1.2</v>
      </c>
      <c r="AM54">
        <v>0</v>
      </c>
      <c r="AO54">
        <v>0</v>
      </c>
      <c r="AR54">
        <v>0</v>
      </c>
      <c r="BI54" t="s">
        <v>152</v>
      </c>
      <c r="BJ54" t="s">
        <v>78</v>
      </c>
      <c r="BK54">
        <v>6</v>
      </c>
      <c r="BL54">
        <f>TRUE</f>
        <v>0</v>
      </c>
      <c r="BM54">
        <f>IF(BL54,BK54,0)</f>
        <v>0</v>
      </c>
      <c r="BN54">
        <f>BN53+BM53</f>
        <v>0</v>
      </c>
    </row>
    <row r="55" spans="1:66">
      <c r="A55" t="s">
        <v>286</v>
      </c>
      <c r="B55" t="s">
        <v>109</v>
      </c>
      <c r="C55">
        <v>130</v>
      </c>
      <c r="D55">
        <v>0</v>
      </c>
      <c r="E55">
        <v>380</v>
      </c>
      <c r="F55">
        <v>30</v>
      </c>
      <c r="H55" t="s">
        <v>184</v>
      </c>
      <c r="I55">
        <v>13.5</v>
      </c>
      <c r="J55">
        <v>1</v>
      </c>
      <c r="K55" t="s">
        <v>185</v>
      </c>
      <c r="L55" t="s">
        <v>191</v>
      </c>
      <c r="M55" t="s">
        <v>192</v>
      </c>
      <c r="P55" t="s">
        <v>57</v>
      </c>
      <c r="R55" t="s">
        <v>217</v>
      </c>
      <c r="S55" t="s">
        <v>285</v>
      </c>
      <c r="W55">
        <f>IF(Calcul!$F$18,"lib_ok","lib")</f>
        <v>0</v>
      </c>
      <c r="X55">
        <f>NOT(OR(Calcul!$G$15,Calcul!$I$45))</f>
        <v>0</v>
      </c>
      <c r="Y55">
        <f>Rendu!$BN$26</f>
        <v>0</v>
      </c>
      <c r="AH55" t="s">
        <v>699</v>
      </c>
      <c r="AI55" t="s">
        <v>658</v>
      </c>
      <c r="AJ55">
        <v>0.65</v>
      </c>
      <c r="AK55" t="s">
        <v>695</v>
      </c>
      <c r="AL55">
        <v>1.2</v>
      </c>
      <c r="AM55">
        <v>0.65</v>
      </c>
      <c r="AO55">
        <v>0</v>
      </c>
      <c r="AR55">
        <v>0</v>
      </c>
      <c r="BI55" t="s">
        <v>153</v>
      </c>
      <c r="BJ55" t="s">
        <v>78</v>
      </c>
      <c r="BK55">
        <v>10</v>
      </c>
      <c r="BL55">
        <f>TRUE</f>
        <v>0</v>
      </c>
      <c r="BM55">
        <f>IF(BL55,BK55,0)</f>
        <v>0</v>
      </c>
      <c r="BN55">
        <f>BN54+BM54</f>
        <v>0</v>
      </c>
    </row>
    <row r="56" spans="1:66">
      <c r="A56" t="s">
        <v>287</v>
      </c>
      <c r="B56" t="s">
        <v>183</v>
      </c>
      <c r="C56">
        <v>98</v>
      </c>
      <c r="D56">
        <v>0</v>
      </c>
      <c r="E56">
        <v>24</v>
      </c>
      <c r="F56">
        <v>24</v>
      </c>
      <c r="G56">
        <v>8</v>
      </c>
      <c r="H56" t="s">
        <v>184</v>
      </c>
      <c r="I56">
        <v>12</v>
      </c>
      <c r="J56">
        <v>1</v>
      </c>
      <c r="K56" t="s">
        <v>196</v>
      </c>
      <c r="R56" t="s">
        <v>208</v>
      </c>
      <c r="S56" t="s">
        <v>288</v>
      </c>
      <c r="V56">
        <f>IF(Calcul!$F$19,"✓","")</f>
        <v>0</v>
      </c>
      <c r="W56">
        <f>IF(Calcul!$D$19,"cb_on",IF(Calcul!$F$19,"cb_auto","cb_off"))</f>
        <v>0</v>
      </c>
      <c r="X56">
        <f>NOT(OR(Calcul!$G$15,Calcul!$I$45))</f>
        <v>0</v>
      </c>
      <c r="Y56">
        <f>Rendu!$BN$27+3</f>
        <v>0</v>
      </c>
      <c r="AH56" t="s">
        <v>540</v>
      </c>
      <c r="AJ56">
        <v>0</v>
      </c>
      <c r="AL56">
        <v>0</v>
      </c>
      <c r="AM56">
        <v>0</v>
      </c>
      <c r="AN56" t="s">
        <v>646</v>
      </c>
      <c r="AO56">
        <v>0</v>
      </c>
      <c r="AR56">
        <v>0</v>
      </c>
      <c r="BI56" t="s">
        <v>149</v>
      </c>
      <c r="BJ56" t="s">
        <v>94</v>
      </c>
      <c r="BK56">
        <v>6</v>
      </c>
      <c r="BL56">
        <f>TRUE</f>
        <v>0</v>
      </c>
      <c r="BM56">
        <f>IF(BL56,BK56,0)</f>
        <v>0</v>
      </c>
      <c r="BN56">
        <f>BN55+BM55</f>
        <v>0</v>
      </c>
    </row>
    <row r="57" spans="1:66">
      <c r="A57" t="s">
        <v>289</v>
      </c>
      <c r="B57" t="s">
        <v>109</v>
      </c>
      <c r="C57">
        <v>130</v>
      </c>
      <c r="D57">
        <v>0</v>
      </c>
      <c r="E57">
        <v>380</v>
      </c>
      <c r="F57">
        <v>30</v>
      </c>
      <c r="H57" t="s">
        <v>184</v>
      </c>
      <c r="I57">
        <v>13.5</v>
      </c>
      <c r="J57">
        <v>1</v>
      </c>
      <c r="K57" t="s">
        <v>185</v>
      </c>
      <c r="L57" t="s">
        <v>191</v>
      </c>
      <c r="M57" t="s">
        <v>192</v>
      </c>
      <c r="P57" t="s">
        <v>59</v>
      </c>
      <c r="R57" t="s">
        <v>217</v>
      </c>
      <c r="S57" t="s">
        <v>288</v>
      </c>
      <c r="W57">
        <f>IF(Calcul!$F$19,"lib_ok","lib")</f>
        <v>0</v>
      </c>
      <c r="X57">
        <f>NOT(OR(Calcul!$G$15,Calcul!$I$45))</f>
        <v>0</v>
      </c>
      <c r="Y57">
        <f>Rendu!$BN$27</f>
        <v>0</v>
      </c>
      <c r="BI57" t="s">
        <v>150</v>
      </c>
      <c r="BJ57" t="s">
        <v>94</v>
      </c>
      <c r="BK57">
        <v>38</v>
      </c>
      <c r="BL57">
        <f>TRUE</f>
        <v>0</v>
      </c>
      <c r="BM57">
        <f>IF(BL57,BK57,0)</f>
        <v>0</v>
      </c>
      <c r="BN57">
        <f>BN56+BM56</f>
        <v>0</v>
      </c>
    </row>
    <row r="58" spans="1:66">
      <c r="A58" t="s">
        <v>290</v>
      </c>
      <c r="B58" t="s">
        <v>183</v>
      </c>
      <c r="C58">
        <v>32</v>
      </c>
      <c r="D58">
        <v>103</v>
      </c>
      <c r="E58">
        <v>503</v>
      </c>
      <c r="F58">
        <v>50</v>
      </c>
      <c r="G58">
        <v>16</v>
      </c>
      <c r="H58" t="s">
        <v>184</v>
      </c>
      <c r="R58" t="s">
        <v>200</v>
      </c>
      <c r="W58">
        <f>IF(Calcul!$B$52=4,"grp_actif","grp")</f>
        <v>0</v>
      </c>
      <c r="Y58">
        <f>Rendu!$BN$30</f>
        <v>0</v>
      </c>
      <c r="Z58">
        <f>SUM(Rendu!$BM$30:Rendu!$BM$35)</f>
        <v>0</v>
      </c>
      <c r="BI58" t="s">
        <v>151</v>
      </c>
      <c r="BJ58" t="s">
        <v>96</v>
      </c>
      <c r="BK58">
        <v>30</v>
      </c>
      <c r="BL58">
        <f>NOT(OR(Calcul!$G$36,Calcul!$I$49))</f>
        <v>0</v>
      </c>
      <c r="BM58">
        <f>IF(BL58,BK58,0)</f>
        <v>0</v>
      </c>
      <c r="BN58">
        <f>BN57+BM57</f>
        <v>0</v>
      </c>
    </row>
    <row r="59" spans="1:66">
      <c r="A59" t="s">
        <v>291</v>
      </c>
      <c r="B59" t="s">
        <v>202</v>
      </c>
      <c r="C59">
        <v>54</v>
      </c>
      <c r="D59">
        <v>103</v>
      </c>
      <c r="E59">
        <v>0</v>
      </c>
      <c r="F59">
        <v>40</v>
      </c>
      <c r="H59" t="s">
        <v>184</v>
      </c>
      <c r="R59" t="s">
        <v>202</v>
      </c>
      <c r="X59">
        <f>NOT(OR(Calcul!$G$20,Calcul!$I$46))</f>
        <v>0</v>
      </c>
      <c r="Y59">
        <f>Rendu!$BN$32+2</f>
        <v>0</v>
      </c>
      <c r="Z59">
        <f>Rendu!$BN$35-Rendu!$BN$32-6</f>
        <v>0</v>
      </c>
      <c r="BI59" t="s">
        <v>151</v>
      </c>
      <c r="BJ59" t="s">
        <v>98</v>
      </c>
      <c r="BK59">
        <v>30</v>
      </c>
      <c r="BL59">
        <f>NOT(OR(Calcul!$G$36,Calcul!$I$49))</f>
        <v>0</v>
      </c>
      <c r="BM59">
        <f>IF(BL59,BK59,0)</f>
        <v>0</v>
      </c>
      <c r="BN59">
        <f>BN58+BM58</f>
        <v>0</v>
      </c>
    </row>
    <row r="60" spans="1:66">
      <c r="A60" t="s">
        <v>292</v>
      </c>
      <c r="B60" t="s">
        <v>183</v>
      </c>
      <c r="C60">
        <v>42</v>
      </c>
      <c r="D60">
        <v>0</v>
      </c>
      <c r="E60">
        <v>26</v>
      </c>
      <c r="F60">
        <v>26</v>
      </c>
      <c r="G60">
        <v>9</v>
      </c>
      <c r="H60" t="s">
        <v>184</v>
      </c>
      <c r="I60">
        <v>13</v>
      </c>
      <c r="K60" t="s">
        <v>196</v>
      </c>
      <c r="P60" t="s">
        <v>204</v>
      </c>
      <c r="R60" t="s">
        <v>205</v>
      </c>
      <c r="S60" t="s">
        <v>293</v>
      </c>
      <c r="V60">
        <f>IF(OR(Calcul!$G$20,Calcul!$I$46),"▸","▾")</f>
        <v>0</v>
      </c>
      <c r="W60">
        <f>IF(Calcul!$I$46,"chev_lock","chev")</f>
        <v>0</v>
      </c>
      <c r="Y60">
        <f>Rendu!$BN$31+6</f>
        <v>0</v>
      </c>
      <c r="BI60" t="s">
        <v>151</v>
      </c>
      <c r="BJ60" t="s">
        <v>100</v>
      </c>
      <c r="BK60">
        <v>30</v>
      </c>
      <c r="BL60">
        <f>NOT(OR(Calcul!$G$36,Calcul!$I$49))</f>
        <v>0</v>
      </c>
      <c r="BM60">
        <f>IF(BL60,BK60,0)</f>
        <v>0</v>
      </c>
      <c r="BN60">
        <f>BN59+BM59</f>
        <v>0</v>
      </c>
    </row>
    <row r="61" spans="1:66">
      <c r="A61" t="s">
        <v>294</v>
      </c>
      <c r="B61" t="s">
        <v>183</v>
      </c>
      <c r="C61">
        <v>78</v>
      </c>
      <c r="D61">
        <v>0</v>
      </c>
      <c r="E61">
        <v>24</v>
      </c>
      <c r="F61">
        <v>24</v>
      </c>
      <c r="G61">
        <v>8</v>
      </c>
      <c r="H61" t="s">
        <v>184</v>
      </c>
      <c r="I61">
        <v>12</v>
      </c>
      <c r="J61">
        <v>1</v>
      </c>
      <c r="K61" t="s">
        <v>196</v>
      </c>
      <c r="R61" t="s">
        <v>208</v>
      </c>
      <c r="S61" t="s">
        <v>295</v>
      </c>
      <c r="V61">
        <f>IF(Calcul!$F$20,"✓","")</f>
        <v>0</v>
      </c>
      <c r="W61">
        <f>IF(Calcul!$I$46,"cb_lock",IF(Calcul!$D$20,"cb_on",IF(Calcul!$F$20,"cb_auto","cb_off")))</f>
        <v>0</v>
      </c>
      <c r="Y61">
        <f>Rendu!$BN$31+7</f>
        <v>0</v>
      </c>
      <c r="BI61" t="s">
        <v>152</v>
      </c>
      <c r="BJ61" t="s">
        <v>94</v>
      </c>
      <c r="BK61">
        <v>6</v>
      </c>
      <c r="BL61">
        <f>TRUE</f>
        <v>0</v>
      </c>
      <c r="BM61">
        <f>IF(BL61,BK61,0)</f>
        <v>0</v>
      </c>
      <c r="BN61">
        <f>BN60+BM60</f>
        <v>0</v>
      </c>
    </row>
    <row r="62" spans="1:66">
      <c r="A62" t="s">
        <v>296</v>
      </c>
      <c r="B62" t="s">
        <v>109</v>
      </c>
      <c r="C62">
        <v>108</v>
      </c>
      <c r="D62">
        <v>0</v>
      </c>
      <c r="E62">
        <v>16</v>
      </c>
      <c r="F62">
        <v>38</v>
      </c>
      <c r="H62" t="s">
        <v>211</v>
      </c>
      <c r="I62">
        <v>11</v>
      </c>
      <c r="J62">
        <v>0</v>
      </c>
      <c r="K62" t="s">
        <v>212</v>
      </c>
      <c r="L62" t="s">
        <v>191</v>
      </c>
      <c r="M62" t="s">
        <v>192</v>
      </c>
      <c r="P62" t="s">
        <v>297</v>
      </c>
      <c r="R62" t="s">
        <v>214</v>
      </c>
      <c r="S62" t="s">
        <v>298</v>
      </c>
      <c r="W62">
        <f>IF(Calcul!$I$46,"num_lock","num")</f>
        <v>0</v>
      </c>
      <c r="Y62">
        <f>Rendu!$BN$31</f>
        <v>0</v>
      </c>
    </row>
    <row r="63" spans="1:66">
      <c r="A63" t="s">
        <v>299</v>
      </c>
      <c r="B63" t="s">
        <v>109</v>
      </c>
      <c r="C63">
        <v>130</v>
      </c>
      <c r="D63">
        <v>0</v>
      </c>
      <c r="E63">
        <v>360</v>
      </c>
      <c r="F63">
        <v>38</v>
      </c>
      <c r="H63" t="s">
        <v>184</v>
      </c>
      <c r="I63">
        <v>15</v>
      </c>
      <c r="J63">
        <v>1</v>
      </c>
      <c r="K63" t="s">
        <v>185</v>
      </c>
      <c r="L63" t="s">
        <v>191</v>
      </c>
      <c r="M63" t="s">
        <v>192</v>
      </c>
      <c r="P63" t="s">
        <v>61</v>
      </c>
      <c r="R63" t="s">
        <v>217</v>
      </c>
      <c r="S63" t="s">
        <v>298</v>
      </c>
      <c r="W63">
        <f>IF(Calcul!$I$46,"lib_lock",IF(Calcul!$F$20,"lib_ok","lib"))</f>
        <v>0</v>
      </c>
      <c r="Y63">
        <f>Rendu!$BN$31</f>
        <v>0</v>
      </c>
    </row>
    <row r="64" spans="1:66">
      <c r="A64" t="s">
        <v>300</v>
      </c>
      <c r="B64" t="s">
        <v>219</v>
      </c>
      <c r="C64">
        <v>509</v>
      </c>
      <c r="D64">
        <v>0</v>
      </c>
      <c r="E64">
        <v>12</v>
      </c>
      <c r="F64">
        <v>12</v>
      </c>
      <c r="H64" t="s">
        <v>184</v>
      </c>
      <c r="R64" t="s">
        <v>220</v>
      </c>
      <c r="W64">
        <f>IF(Calcul!$I$46,"led_off_lock",IF(Calcul!$L$46="ok","led_on","led_off"))</f>
        <v>0</v>
      </c>
      <c r="Y64">
        <f>Rendu!$BN$31+13</f>
        <v>0</v>
      </c>
    </row>
    <row r="65" spans="1:26">
      <c r="A65" t="s">
        <v>301</v>
      </c>
      <c r="B65" t="s">
        <v>183</v>
      </c>
      <c r="C65">
        <v>98</v>
      </c>
      <c r="D65">
        <v>0</v>
      </c>
      <c r="E65">
        <v>24</v>
      </c>
      <c r="F65">
        <v>24</v>
      </c>
      <c r="G65">
        <v>8</v>
      </c>
      <c r="H65" t="s">
        <v>184</v>
      </c>
      <c r="I65">
        <v>12</v>
      </c>
      <c r="J65">
        <v>1</v>
      </c>
      <c r="K65" t="s">
        <v>196</v>
      </c>
      <c r="R65" t="s">
        <v>208</v>
      </c>
      <c r="S65" t="s">
        <v>302</v>
      </c>
      <c r="V65">
        <f>IF(Calcul!$F$21,"✓","")</f>
        <v>0</v>
      </c>
      <c r="W65">
        <f>IF(Calcul!$D$21,"cb_on",IF(Calcul!$F$21,"cb_auto","cb_off"))</f>
        <v>0</v>
      </c>
      <c r="X65">
        <f>NOT(OR(Calcul!$G$20,Calcul!$I$46))</f>
        <v>0</v>
      </c>
      <c r="Y65">
        <f>Rendu!$BN$32+3</f>
        <v>0</v>
      </c>
    </row>
    <row r="66" spans="1:26">
      <c r="A66" t="s">
        <v>303</v>
      </c>
      <c r="B66" t="s">
        <v>109</v>
      </c>
      <c r="C66">
        <v>130</v>
      </c>
      <c r="D66">
        <v>0</v>
      </c>
      <c r="E66">
        <v>380</v>
      </c>
      <c r="F66">
        <v>30</v>
      </c>
      <c r="H66" t="s">
        <v>184</v>
      </c>
      <c r="I66">
        <v>13.5</v>
      </c>
      <c r="J66">
        <v>1</v>
      </c>
      <c r="K66" t="s">
        <v>185</v>
      </c>
      <c r="L66" t="s">
        <v>191</v>
      </c>
      <c r="M66" t="s">
        <v>192</v>
      </c>
      <c r="P66" t="s">
        <v>63</v>
      </c>
      <c r="R66" t="s">
        <v>217</v>
      </c>
      <c r="S66" t="s">
        <v>302</v>
      </c>
      <c r="W66">
        <f>IF(Calcul!$F$21,"lib_ok","lib")</f>
        <v>0</v>
      </c>
      <c r="X66">
        <f>NOT(OR(Calcul!$G$20,Calcul!$I$46))</f>
        <v>0</v>
      </c>
      <c r="Y66">
        <f>Rendu!$BN$32</f>
        <v>0</v>
      </c>
    </row>
    <row r="67" spans="1:26">
      <c r="A67" t="s">
        <v>304</v>
      </c>
      <c r="B67" t="s">
        <v>183</v>
      </c>
      <c r="C67">
        <v>98</v>
      </c>
      <c r="D67">
        <v>0</v>
      </c>
      <c r="E67">
        <v>24</v>
      </c>
      <c r="F67">
        <v>24</v>
      </c>
      <c r="G67">
        <v>8</v>
      </c>
      <c r="H67" t="s">
        <v>184</v>
      </c>
      <c r="I67">
        <v>12</v>
      </c>
      <c r="J67">
        <v>1</v>
      </c>
      <c r="K67" t="s">
        <v>196</v>
      </c>
      <c r="R67" t="s">
        <v>208</v>
      </c>
      <c r="S67" t="s">
        <v>305</v>
      </c>
      <c r="V67">
        <f>IF(Calcul!$F$22,"✓","")</f>
        <v>0</v>
      </c>
      <c r="W67">
        <f>IF(Calcul!$D$22,"cb_on",IF(Calcul!$F$22,"cb_auto","cb_off"))</f>
        <v>0</v>
      </c>
      <c r="X67">
        <f>NOT(OR(Calcul!$G$20,Calcul!$I$46))</f>
        <v>0</v>
      </c>
      <c r="Y67">
        <f>Rendu!$BN$33+3</f>
        <v>0</v>
      </c>
    </row>
    <row r="68" spans="1:26">
      <c r="A68" t="s">
        <v>306</v>
      </c>
      <c r="B68" t="s">
        <v>109</v>
      </c>
      <c r="C68">
        <v>130</v>
      </c>
      <c r="D68">
        <v>0</v>
      </c>
      <c r="E68">
        <v>380</v>
      </c>
      <c r="F68">
        <v>30</v>
      </c>
      <c r="H68" t="s">
        <v>184</v>
      </c>
      <c r="I68">
        <v>13.5</v>
      </c>
      <c r="J68">
        <v>1</v>
      </c>
      <c r="K68" t="s">
        <v>185</v>
      </c>
      <c r="L68" t="s">
        <v>191</v>
      </c>
      <c r="M68" t="s">
        <v>192</v>
      </c>
      <c r="P68" t="s">
        <v>65</v>
      </c>
      <c r="R68" t="s">
        <v>217</v>
      </c>
      <c r="S68" t="s">
        <v>305</v>
      </c>
      <c r="W68">
        <f>IF(Calcul!$F$22,"lib_ok","lib")</f>
        <v>0</v>
      </c>
      <c r="X68">
        <f>NOT(OR(Calcul!$G$20,Calcul!$I$46))</f>
        <v>0</v>
      </c>
      <c r="Y68">
        <f>Rendu!$BN$33</f>
        <v>0</v>
      </c>
    </row>
    <row r="69" spans="1:26">
      <c r="A69" t="s">
        <v>307</v>
      </c>
      <c r="B69" t="s">
        <v>183</v>
      </c>
      <c r="C69">
        <v>98</v>
      </c>
      <c r="D69">
        <v>0</v>
      </c>
      <c r="E69">
        <v>24</v>
      </c>
      <c r="F69">
        <v>24</v>
      </c>
      <c r="G69">
        <v>8</v>
      </c>
      <c r="H69" t="s">
        <v>184</v>
      </c>
      <c r="I69">
        <v>12</v>
      </c>
      <c r="J69">
        <v>1</v>
      </c>
      <c r="K69" t="s">
        <v>196</v>
      </c>
      <c r="R69" t="s">
        <v>208</v>
      </c>
      <c r="S69" t="s">
        <v>308</v>
      </c>
      <c r="V69">
        <f>IF(Calcul!$F$23,"✓","")</f>
        <v>0</v>
      </c>
      <c r="W69">
        <f>IF(Calcul!$D$23,"cb_on",IF(Calcul!$F$23,"cb_auto","cb_off"))</f>
        <v>0</v>
      </c>
      <c r="X69">
        <f>NOT(OR(Calcul!$G$20,Calcul!$I$46))</f>
        <v>0</v>
      </c>
      <c r="Y69">
        <f>Rendu!$BN$34+3</f>
        <v>0</v>
      </c>
    </row>
    <row r="70" spans="1:26">
      <c r="A70" t="s">
        <v>309</v>
      </c>
      <c r="B70" t="s">
        <v>109</v>
      </c>
      <c r="C70">
        <v>130</v>
      </c>
      <c r="D70">
        <v>0</v>
      </c>
      <c r="E70">
        <v>380</v>
      </c>
      <c r="F70">
        <v>30</v>
      </c>
      <c r="H70" t="s">
        <v>184</v>
      </c>
      <c r="I70">
        <v>13.5</v>
      </c>
      <c r="J70">
        <v>1</v>
      </c>
      <c r="K70" t="s">
        <v>185</v>
      </c>
      <c r="L70" t="s">
        <v>191</v>
      </c>
      <c r="M70" t="s">
        <v>192</v>
      </c>
      <c r="P70" t="s">
        <v>67</v>
      </c>
      <c r="R70" t="s">
        <v>217</v>
      </c>
      <c r="S70" t="s">
        <v>308</v>
      </c>
      <c r="W70">
        <f>IF(Calcul!$F$23,"lib_ok","lib")</f>
        <v>0</v>
      </c>
      <c r="X70">
        <f>NOT(OR(Calcul!$G$20,Calcul!$I$46))</f>
        <v>0</v>
      </c>
      <c r="Y70">
        <f>Rendu!$BN$34</f>
        <v>0</v>
      </c>
    </row>
    <row r="71" spans="1:26">
      <c r="A71" t="s">
        <v>310</v>
      </c>
      <c r="B71" t="s">
        <v>183</v>
      </c>
      <c r="C71">
        <v>32</v>
      </c>
      <c r="D71">
        <v>103</v>
      </c>
      <c r="E71">
        <v>503</v>
      </c>
      <c r="F71">
        <v>50</v>
      </c>
      <c r="G71">
        <v>16</v>
      </c>
      <c r="H71" t="s">
        <v>184</v>
      </c>
      <c r="R71" t="s">
        <v>200</v>
      </c>
      <c r="W71">
        <f>IF(Calcul!$B$52=5,"grp_actif","grp")</f>
        <v>0</v>
      </c>
      <c r="Y71">
        <f>Rendu!$BN$37</f>
        <v>0</v>
      </c>
      <c r="Z71">
        <f>SUM(Rendu!$BM$37:Rendu!$BM$43)</f>
        <v>0</v>
      </c>
    </row>
    <row r="72" spans="1:26">
      <c r="A72" t="s">
        <v>311</v>
      </c>
      <c r="B72" t="s">
        <v>202</v>
      </c>
      <c r="C72">
        <v>54</v>
      </c>
      <c r="D72">
        <v>103</v>
      </c>
      <c r="E72">
        <v>0</v>
      </c>
      <c r="F72">
        <v>40</v>
      </c>
      <c r="H72" t="s">
        <v>184</v>
      </c>
      <c r="R72" t="s">
        <v>202</v>
      </c>
      <c r="X72">
        <f>NOT(OR(Calcul!$G$24,Calcul!$I$47))</f>
        <v>0</v>
      </c>
      <c r="Y72">
        <f>Rendu!$BN$39+2</f>
        <v>0</v>
      </c>
      <c r="Z72">
        <f>Rendu!$BN$43-Rendu!$BN$39-6</f>
        <v>0</v>
      </c>
    </row>
    <row r="73" spans="1:26">
      <c r="A73" t="s">
        <v>312</v>
      </c>
      <c r="B73" t="s">
        <v>183</v>
      </c>
      <c r="C73">
        <v>42</v>
      </c>
      <c r="D73">
        <v>0</v>
      </c>
      <c r="E73">
        <v>26</v>
      </c>
      <c r="F73">
        <v>26</v>
      </c>
      <c r="G73">
        <v>9</v>
      </c>
      <c r="H73" t="s">
        <v>184</v>
      </c>
      <c r="I73">
        <v>13</v>
      </c>
      <c r="K73" t="s">
        <v>196</v>
      </c>
      <c r="P73" t="s">
        <v>204</v>
      </c>
      <c r="R73" t="s">
        <v>205</v>
      </c>
      <c r="S73" t="s">
        <v>313</v>
      </c>
      <c r="V73">
        <f>IF(OR(Calcul!$G$24,Calcul!$I$47),"▸","▾")</f>
        <v>0</v>
      </c>
      <c r="W73">
        <f>IF(Calcul!$I$47,"chev_lock","chev")</f>
        <v>0</v>
      </c>
      <c r="Y73">
        <f>Rendu!$BN$38+6</f>
        <v>0</v>
      </c>
    </row>
    <row r="74" spans="1:26">
      <c r="A74" t="s">
        <v>314</v>
      </c>
      <c r="B74" t="s">
        <v>183</v>
      </c>
      <c r="C74">
        <v>78</v>
      </c>
      <c r="D74">
        <v>0</v>
      </c>
      <c r="E74">
        <v>24</v>
      </c>
      <c r="F74">
        <v>24</v>
      </c>
      <c r="G74">
        <v>8</v>
      </c>
      <c r="H74" t="s">
        <v>184</v>
      </c>
      <c r="I74">
        <v>12</v>
      </c>
      <c r="J74">
        <v>1</v>
      </c>
      <c r="K74" t="s">
        <v>196</v>
      </c>
      <c r="R74" t="s">
        <v>208</v>
      </c>
      <c r="S74" t="s">
        <v>315</v>
      </c>
      <c r="V74">
        <f>IF(Calcul!$F$24,"✓","")</f>
        <v>0</v>
      </c>
      <c r="W74">
        <f>IF(Calcul!$I$47,"cb_lock",IF(Calcul!$D$24,"cb_on",IF(Calcul!$F$24,"cb_auto","cb_off")))</f>
        <v>0</v>
      </c>
      <c r="Y74">
        <f>Rendu!$BN$38+7</f>
        <v>0</v>
      </c>
    </row>
    <row r="75" spans="1:26">
      <c r="A75" t="s">
        <v>316</v>
      </c>
      <c r="B75" t="s">
        <v>109</v>
      </c>
      <c r="C75">
        <v>108</v>
      </c>
      <c r="D75">
        <v>0</v>
      </c>
      <c r="E75">
        <v>16</v>
      </c>
      <c r="F75">
        <v>38</v>
      </c>
      <c r="H75" t="s">
        <v>211</v>
      </c>
      <c r="I75">
        <v>11</v>
      </c>
      <c r="J75">
        <v>0</v>
      </c>
      <c r="K75" t="s">
        <v>212</v>
      </c>
      <c r="L75" t="s">
        <v>191</v>
      </c>
      <c r="M75" t="s">
        <v>192</v>
      </c>
      <c r="P75" t="s">
        <v>317</v>
      </c>
      <c r="R75" t="s">
        <v>214</v>
      </c>
      <c r="S75" t="s">
        <v>318</v>
      </c>
      <c r="W75">
        <f>IF(Calcul!$I$47,"num_lock","num")</f>
        <v>0</v>
      </c>
      <c r="Y75">
        <f>Rendu!$BN$38</f>
        <v>0</v>
      </c>
    </row>
    <row r="76" spans="1:26">
      <c r="A76" t="s">
        <v>319</v>
      </c>
      <c r="B76" t="s">
        <v>109</v>
      </c>
      <c r="C76">
        <v>130</v>
      </c>
      <c r="D76">
        <v>0</v>
      </c>
      <c r="E76">
        <v>360</v>
      </c>
      <c r="F76">
        <v>38</v>
      </c>
      <c r="H76" t="s">
        <v>184</v>
      </c>
      <c r="I76">
        <v>15</v>
      </c>
      <c r="J76">
        <v>1</v>
      </c>
      <c r="K76" t="s">
        <v>185</v>
      </c>
      <c r="L76" t="s">
        <v>191</v>
      </c>
      <c r="M76" t="s">
        <v>192</v>
      </c>
      <c r="P76" t="s">
        <v>69</v>
      </c>
      <c r="R76" t="s">
        <v>217</v>
      </c>
      <c r="S76" t="s">
        <v>318</v>
      </c>
      <c r="W76">
        <f>IF(Calcul!$I$47,"lib_lock",IF(Calcul!$F$24,"lib_ok","lib"))</f>
        <v>0</v>
      </c>
      <c r="Y76">
        <f>Rendu!$BN$38</f>
        <v>0</v>
      </c>
    </row>
    <row r="77" spans="1:26">
      <c r="A77" t="s">
        <v>320</v>
      </c>
      <c r="B77" t="s">
        <v>219</v>
      </c>
      <c r="C77">
        <v>509</v>
      </c>
      <c r="D77">
        <v>0</v>
      </c>
      <c r="E77">
        <v>12</v>
      </c>
      <c r="F77">
        <v>12</v>
      </c>
      <c r="H77" t="s">
        <v>184</v>
      </c>
      <c r="R77" t="s">
        <v>220</v>
      </c>
      <c r="W77">
        <f>IF(Calcul!$I$47,"led_off_lock",IF(Calcul!$L$47="ok","led_on","led_off"))</f>
        <v>0</v>
      </c>
      <c r="Y77">
        <f>Rendu!$BN$38+13</f>
        <v>0</v>
      </c>
    </row>
    <row r="78" spans="1:26">
      <c r="A78" t="s">
        <v>321</v>
      </c>
      <c r="B78" t="s">
        <v>183</v>
      </c>
      <c r="C78">
        <v>98</v>
      </c>
      <c r="D78">
        <v>0</v>
      </c>
      <c r="E78">
        <v>24</v>
      </c>
      <c r="F78">
        <v>24</v>
      </c>
      <c r="G78">
        <v>8</v>
      </c>
      <c r="H78" t="s">
        <v>184</v>
      </c>
      <c r="I78">
        <v>12</v>
      </c>
      <c r="J78">
        <v>1</v>
      </c>
      <c r="K78" t="s">
        <v>196</v>
      </c>
      <c r="R78" t="s">
        <v>208</v>
      </c>
      <c r="S78" t="s">
        <v>322</v>
      </c>
      <c r="V78">
        <f>IF(Calcul!$F$25,"✓","")</f>
        <v>0</v>
      </c>
      <c r="W78">
        <f>IF(Calcul!$D$25,"cb_on",IF(Calcul!$F$25,"cb_auto","cb_off"))</f>
        <v>0</v>
      </c>
      <c r="X78">
        <f>NOT(OR(Calcul!$G$24,Calcul!$I$47))</f>
        <v>0</v>
      </c>
      <c r="Y78">
        <f>Rendu!$BN$39+3</f>
        <v>0</v>
      </c>
    </row>
    <row r="79" spans="1:26">
      <c r="A79" t="s">
        <v>323</v>
      </c>
      <c r="B79" t="s">
        <v>109</v>
      </c>
      <c r="C79">
        <v>130</v>
      </c>
      <c r="D79">
        <v>0</v>
      </c>
      <c r="E79">
        <v>380</v>
      </c>
      <c r="F79">
        <v>30</v>
      </c>
      <c r="H79" t="s">
        <v>184</v>
      </c>
      <c r="I79">
        <v>13.5</v>
      </c>
      <c r="J79">
        <v>1</v>
      </c>
      <c r="K79" t="s">
        <v>185</v>
      </c>
      <c r="L79" t="s">
        <v>191</v>
      </c>
      <c r="M79" t="s">
        <v>192</v>
      </c>
      <c r="P79" t="s">
        <v>71</v>
      </c>
      <c r="R79" t="s">
        <v>217</v>
      </c>
      <c r="S79" t="s">
        <v>322</v>
      </c>
      <c r="W79">
        <f>IF(Calcul!$F$25,"lib_ok","lib")</f>
        <v>0</v>
      </c>
      <c r="X79">
        <f>NOT(OR(Calcul!$G$24,Calcul!$I$47))</f>
        <v>0</v>
      </c>
      <c r="Y79">
        <f>Rendu!$BN$39</f>
        <v>0</v>
      </c>
    </row>
    <row r="80" spans="1:26">
      <c r="A80" t="s">
        <v>324</v>
      </c>
      <c r="B80" t="s">
        <v>183</v>
      </c>
      <c r="C80">
        <v>98</v>
      </c>
      <c r="D80">
        <v>0</v>
      </c>
      <c r="E80">
        <v>24</v>
      </c>
      <c r="F80">
        <v>24</v>
      </c>
      <c r="G80">
        <v>8</v>
      </c>
      <c r="H80" t="s">
        <v>184</v>
      </c>
      <c r="I80">
        <v>12</v>
      </c>
      <c r="J80">
        <v>1</v>
      </c>
      <c r="K80" t="s">
        <v>196</v>
      </c>
      <c r="R80" t="s">
        <v>208</v>
      </c>
      <c r="S80" t="s">
        <v>325</v>
      </c>
      <c r="V80">
        <f>IF(Calcul!$F$26,"✓","")</f>
        <v>0</v>
      </c>
      <c r="W80">
        <f>IF(Calcul!$D$26,"cb_on",IF(Calcul!$F$26,"cb_auto","cb_off"))</f>
        <v>0</v>
      </c>
      <c r="X80">
        <f>NOT(OR(Calcul!$G$24,Calcul!$I$47))</f>
        <v>0</v>
      </c>
      <c r="Y80">
        <f>Rendu!$BN$40+3</f>
        <v>0</v>
      </c>
    </row>
    <row r="81" spans="1:26">
      <c r="A81" t="s">
        <v>326</v>
      </c>
      <c r="B81" t="s">
        <v>109</v>
      </c>
      <c r="C81">
        <v>130</v>
      </c>
      <c r="D81">
        <v>0</v>
      </c>
      <c r="E81">
        <v>380</v>
      </c>
      <c r="F81">
        <v>30</v>
      </c>
      <c r="H81" t="s">
        <v>184</v>
      </c>
      <c r="I81">
        <v>13.5</v>
      </c>
      <c r="J81">
        <v>1</v>
      </c>
      <c r="K81" t="s">
        <v>185</v>
      </c>
      <c r="L81" t="s">
        <v>191</v>
      </c>
      <c r="M81" t="s">
        <v>192</v>
      </c>
      <c r="P81" t="s">
        <v>73</v>
      </c>
      <c r="R81" t="s">
        <v>217</v>
      </c>
      <c r="S81" t="s">
        <v>325</v>
      </c>
      <c r="W81">
        <f>IF(Calcul!$F$26,"lib_ok","lib")</f>
        <v>0</v>
      </c>
      <c r="X81">
        <f>NOT(OR(Calcul!$G$24,Calcul!$I$47))</f>
        <v>0</v>
      </c>
      <c r="Y81">
        <f>Rendu!$BN$40</f>
        <v>0</v>
      </c>
    </row>
    <row r="82" spans="1:26">
      <c r="A82" t="s">
        <v>327</v>
      </c>
      <c r="B82" t="s">
        <v>183</v>
      </c>
      <c r="C82">
        <v>98</v>
      </c>
      <c r="D82">
        <v>0</v>
      </c>
      <c r="E82">
        <v>24</v>
      </c>
      <c r="F82">
        <v>24</v>
      </c>
      <c r="G82">
        <v>8</v>
      </c>
      <c r="H82" t="s">
        <v>184</v>
      </c>
      <c r="I82">
        <v>12</v>
      </c>
      <c r="J82">
        <v>1</v>
      </c>
      <c r="K82" t="s">
        <v>196</v>
      </c>
      <c r="R82" t="s">
        <v>208</v>
      </c>
      <c r="S82" t="s">
        <v>328</v>
      </c>
      <c r="V82">
        <f>IF(Calcul!$F$27,"✓","")</f>
        <v>0</v>
      </c>
      <c r="W82">
        <f>IF(Calcul!$D$27,"cb_on",IF(Calcul!$F$27,"cb_auto","cb_off"))</f>
        <v>0</v>
      </c>
      <c r="X82">
        <f>NOT(OR(Calcul!$G$24,Calcul!$I$47))</f>
        <v>0</v>
      </c>
      <c r="Y82">
        <f>Rendu!$BN$41+3</f>
        <v>0</v>
      </c>
    </row>
    <row r="83" spans="1:26">
      <c r="A83" t="s">
        <v>329</v>
      </c>
      <c r="B83" t="s">
        <v>109</v>
      </c>
      <c r="C83">
        <v>130</v>
      </c>
      <c r="D83">
        <v>0</v>
      </c>
      <c r="E83">
        <v>380</v>
      </c>
      <c r="F83">
        <v>30</v>
      </c>
      <c r="H83" t="s">
        <v>184</v>
      </c>
      <c r="I83">
        <v>13.5</v>
      </c>
      <c r="J83">
        <v>1</v>
      </c>
      <c r="K83" t="s">
        <v>185</v>
      </c>
      <c r="L83" t="s">
        <v>191</v>
      </c>
      <c r="M83" t="s">
        <v>192</v>
      </c>
      <c r="P83" t="s">
        <v>75</v>
      </c>
      <c r="R83" t="s">
        <v>217</v>
      </c>
      <c r="S83" t="s">
        <v>328</v>
      </c>
      <c r="W83">
        <f>IF(Calcul!$F$27,"lib_ok","lib")</f>
        <v>0</v>
      </c>
      <c r="X83">
        <f>NOT(OR(Calcul!$G$24,Calcul!$I$47))</f>
        <v>0</v>
      </c>
      <c r="Y83">
        <f>Rendu!$BN$41</f>
        <v>0</v>
      </c>
    </row>
    <row r="84" spans="1:26">
      <c r="A84" t="s">
        <v>330</v>
      </c>
      <c r="B84" t="s">
        <v>183</v>
      </c>
      <c r="C84">
        <v>98</v>
      </c>
      <c r="D84">
        <v>0</v>
      </c>
      <c r="E84">
        <v>24</v>
      </c>
      <c r="F84">
        <v>24</v>
      </c>
      <c r="G84">
        <v>8</v>
      </c>
      <c r="H84" t="s">
        <v>184</v>
      </c>
      <c r="I84">
        <v>12</v>
      </c>
      <c r="J84">
        <v>1</v>
      </c>
      <c r="K84" t="s">
        <v>196</v>
      </c>
      <c r="R84" t="s">
        <v>208</v>
      </c>
      <c r="S84" t="s">
        <v>331</v>
      </c>
      <c r="V84">
        <f>IF(Calcul!$F$28,"✓","")</f>
        <v>0</v>
      </c>
      <c r="W84">
        <f>IF(Calcul!$D$28,"cb_on",IF(Calcul!$F$28,"cb_auto","cb_off"))</f>
        <v>0</v>
      </c>
      <c r="X84">
        <f>NOT(OR(Calcul!$G$24,Calcul!$I$47))</f>
        <v>0</v>
      </c>
      <c r="Y84">
        <f>Rendu!$BN$42+3</f>
        <v>0</v>
      </c>
    </row>
    <row r="85" spans="1:26">
      <c r="A85" t="s">
        <v>332</v>
      </c>
      <c r="B85" t="s">
        <v>109</v>
      </c>
      <c r="C85">
        <v>130</v>
      </c>
      <c r="D85">
        <v>0</v>
      </c>
      <c r="E85">
        <v>380</v>
      </c>
      <c r="F85">
        <v>30</v>
      </c>
      <c r="H85" t="s">
        <v>184</v>
      </c>
      <c r="I85">
        <v>13.5</v>
      </c>
      <c r="J85">
        <v>1</v>
      </c>
      <c r="K85" t="s">
        <v>185</v>
      </c>
      <c r="L85" t="s">
        <v>191</v>
      </c>
      <c r="M85" t="s">
        <v>192</v>
      </c>
      <c r="P85" t="s">
        <v>77</v>
      </c>
      <c r="R85" t="s">
        <v>217</v>
      </c>
      <c r="S85" t="s">
        <v>331</v>
      </c>
      <c r="W85">
        <f>IF(Calcul!$F$28,"lib_ok","lib")</f>
        <v>0</v>
      </c>
      <c r="X85">
        <f>NOT(OR(Calcul!$G$24,Calcul!$I$47))</f>
        <v>0</v>
      </c>
      <c r="Y85">
        <f>Rendu!$BN$42</f>
        <v>0</v>
      </c>
    </row>
    <row r="86" spans="1:26">
      <c r="A86" t="s">
        <v>333</v>
      </c>
      <c r="B86" t="s">
        <v>183</v>
      </c>
      <c r="C86">
        <v>32</v>
      </c>
      <c r="D86">
        <v>103</v>
      </c>
      <c r="E86">
        <v>503</v>
      </c>
      <c r="F86">
        <v>50</v>
      </c>
      <c r="G86">
        <v>16</v>
      </c>
      <c r="H86" t="s">
        <v>184</v>
      </c>
      <c r="R86" t="s">
        <v>200</v>
      </c>
      <c r="W86">
        <f>IF(Calcul!$B$52=6,"grp_actif","grp")</f>
        <v>0</v>
      </c>
      <c r="Y86">
        <f>Rendu!$BN$45</f>
        <v>0</v>
      </c>
      <c r="Z86">
        <f>SUM(Rendu!$BM$45:Rendu!$BM$54)</f>
        <v>0</v>
      </c>
    </row>
    <row r="87" spans="1:26">
      <c r="A87" t="s">
        <v>334</v>
      </c>
      <c r="B87" t="s">
        <v>202</v>
      </c>
      <c r="C87">
        <v>54</v>
      </c>
      <c r="D87">
        <v>103</v>
      </c>
      <c r="E87">
        <v>0</v>
      </c>
      <c r="F87">
        <v>40</v>
      </c>
      <c r="H87" t="s">
        <v>184</v>
      </c>
      <c r="R87" t="s">
        <v>202</v>
      </c>
      <c r="X87">
        <f>NOT(OR(Calcul!$G$29,Calcul!$I$48))</f>
        <v>0</v>
      </c>
      <c r="Y87">
        <f>Rendu!$BN$47+2</f>
        <v>0</v>
      </c>
      <c r="Z87">
        <f>Rendu!$BN$54-Rendu!$BN$47-6</f>
        <v>0</v>
      </c>
    </row>
    <row r="88" spans="1:26">
      <c r="A88" t="s">
        <v>335</v>
      </c>
      <c r="B88" t="s">
        <v>183</v>
      </c>
      <c r="C88">
        <v>42</v>
      </c>
      <c r="D88">
        <v>0</v>
      </c>
      <c r="E88">
        <v>26</v>
      </c>
      <c r="F88">
        <v>26</v>
      </c>
      <c r="G88">
        <v>9</v>
      </c>
      <c r="H88" t="s">
        <v>184</v>
      </c>
      <c r="I88">
        <v>13</v>
      </c>
      <c r="K88" t="s">
        <v>196</v>
      </c>
      <c r="P88" t="s">
        <v>204</v>
      </c>
      <c r="R88" t="s">
        <v>205</v>
      </c>
      <c r="S88" t="s">
        <v>336</v>
      </c>
      <c r="V88">
        <f>IF(OR(Calcul!$G$29,Calcul!$I$48),"▸","▾")</f>
        <v>0</v>
      </c>
      <c r="W88">
        <f>IF(Calcul!$I$48,"chev_lock","chev")</f>
        <v>0</v>
      </c>
      <c r="Y88">
        <f>Rendu!$BN$46+6</f>
        <v>0</v>
      </c>
    </row>
    <row r="89" spans="1:26">
      <c r="A89" t="s">
        <v>337</v>
      </c>
      <c r="B89" t="s">
        <v>183</v>
      </c>
      <c r="C89">
        <v>78</v>
      </c>
      <c r="D89">
        <v>0</v>
      </c>
      <c r="E89">
        <v>24</v>
      </c>
      <c r="F89">
        <v>24</v>
      </c>
      <c r="G89">
        <v>8</v>
      </c>
      <c r="H89" t="s">
        <v>184</v>
      </c>
      <c r="I89">
        <v>12</v>
      </c>
      <c r="J89">
        <v>1</v>
      </c>
      <c r="K89" t="s">
        <v>196</v>
      </c>
      <c r="R89" t="s">
        <v>208</v>
      </c>
      <c r="S89" t="s">
        <v>338</v>
      </c>
      <c r="V89">
        <f>IF(Calcul!$F$29,"✓","")</f>
        <v>0</v>
      </c>
      <c r="W89">
        <f>IF(Calcul!$I$48,"cb_lock",IF(Calcul!$D$29,"cb_on",IF(Calcul!$F$29,"cb_auto","cb_off")))</f>
        <v>0</v>
      </c>
      <c r="Y89">
        <f>Rendu!$BN$46+7</f>
        <v>0</v>
      </c>
    </row>
    <row r="90" spans="1:26">
      <c r="A90" t="s">
        <v>339</v>
      </c>
      <c r="B90" t="s">
        <v>109</v>
      </c>
      <c r="C90">
        <v>108</v>
      </c>
      <c r="D90">
        <v>0</v>
      </c>
      <c r="E90">
        <v>16</v>
      </c>
      <c r="F90">
        <v>38</v>
      </c>
      <c r="H90" t="s">
        <v>211</v>
      </c>
      <c r="I90">
        <v>11</v>
      </c>
      <c r="J90">
        <v>0</v>
      </c>
      <c r="K90" t="s">
        <v>212</v>
      </c>
      <c r="L90" t="s">
        <v>191</v>
      </c>
      <c r="M90" t="s">
        <v>192</v>
      </c>
      <c r="P90" t="s">
        <v>340</v>
      </c>
      <c r="R90" t="s">
        <v>214</v>
      </c>
      <c r="S90" t="s">
        <v>341</v>
      </c>
      <c r="W90">
        <f>IF(Calcul!$I$48,"num_lock","num")</f>
        <v>0</v>
      </c>
      <c r="Y90">
        <f>Rendu!$BN$46</f>
        <v>0</v>
      </c>
    </row>
    <row r="91" spans="1:26">
      <c r="A91" t="s">
        <v>342</v>
      </c>
      <c r="B91" t="s">
        <v>109</v>
      </c>
      <c r="C91">
        <v>130</v>
      </c>
      <c r="D91">
        <v>0</v>
      </c>
      <c r="E91">
        <v>360</v>
      </c>
      <c r="F91">
        <v>38</v>
      </c>
      <c r="H91" t="s">
        <v>184</v>
      </c>
      <c r="I91">
        <v>15</v>
      </c>
      <c r="J91">
        <v>1</v>
      </c>
      <c r="K91" t="s">
        <v>185</v>
      </c>
      <c r="L91" t="s">
        <v>191</v>
      </c>
      <c r="M91" t="s">
        <v>192</v>
      </c>
      <c r="P91" t="s">
        <v>79</v>
      </c>
      <c r="R91" t="s">
        <v>217</v>
      </c>
      <c r="S91" t="s">
        <v>341</v>
      </c>
      <c r="W91">
        <f>IF(Calcul!$I$48,"lib_lock",IF(Calcul!$F$29,"lib_ok","lib"))</f>
        <v>0</v>
      </c>
      <c r="Y91">
        <f>Rendu!$BN$46</f>
        <v>0</v>
      </c>
    </row>
    <row r="92" spans="1:26">
      <c r="A92" t="s">
        <v>343</v>
      </c>
      <c r="B92" t="s">
        <v>219</v>
      </c>
      <c r="C92">
        <v>509</v>
      </c>
      <c r="D92">
        <v>0</v>
      </c>
      <c r="E92">
        <v>12</v>
      </c>
      <c r="F92">
        <v>12</v>
      </c>
      <c r="H92" t="s">
        <v>184</v>
      </c>
      <c r="R92" t="s">
        <v>220</v>
      </c>
      <c r="W92">
        <f>IF(Calcul!$I$48,"led_off_lock",IF(Calcul!$L$48="ok","led_on","led_off"))</f>
        <v>0</v>
      </c>
      <c r="Y92">
        <f>Rendu!$BN$46+13</f>
        <v>0</v>
      </c>
    </row>
    <row r="93" spans="1:26">
      <c r="A93" t="s">
        <v>344</v>
      </c>
      <c r="B93" t="s">
        <v>183</v>
      </c>
      <c r="C93">
        <v>98</v>
      </c>
      <c r="D93">
        <v>0</v>
      </c>
      <c r="E93">
        <v>24</v>
      </c>
      <c r="F93">
        <v>24</v>
      </c>
      <c r="G93">
        <v>8</v>
      </c>
      <c r="H93" t="s">
        <v>184</v>
      </c>
      <c r="I93">
        <v>12</v>
      </c>
      <c r="J93">
        <v>1</v>
      </c>
      <c r="K93" t="s">
        <v>196</v>
      </c>
      <c r="R93" t="s">
        <v>208</v>
      </c>
      <c r="S93" t="s">
        <v>345</v>
      </c>
      <c r="V93">
        <f>IF(Calcul!$F$30,"✓","")</f>
        <v>0</v>
      </c>
      <c r="W93">
        <f>IF(Calcul!$D$30,"cb_on",IF(Calcul!$F$30,"cb_auto","cb_off"))</f>
        <v>0</v>
      </c>
      <c r="X93">
        <f>NOT(OR(Calcul!$G$29,Calcul!$I$48))</f>
        <v>0</v>
      </c>
      <c r="Y93">
        <f>Rendu!$BN$47+3</f>
        <v>0</v>
      </c>
    </row>
    <row r="94" spans="1:26">
      <c r="A94" t="s">
        <v>346</v>
      </c>
      <c r="B94" t="s">
        <v>109</v>
      </c>
      <c r="C94">
        <v>130</v>
      </c>
      <c r="D94">
        <v>0</v>
      </c>
      <c r="E94">
        <v>380</v>
      </c>
      <c r="F94">
        <v>30</v>
      </c>
      <c r="H94" t="s">
        <v>184</v>
      </c>
      <c r="I94">
        <v>13.5</v>
      </c>
      <c r="J94">
        <v>1</v>
      </c>
      <c r="K94" t="s">
        <v>185</v>
      </c>
      <c r="L94" t="s">
        <v>191</v>
      </c>
      <c r="M94" t="s">
        <v>192</v>
      </c>
      <c r="P94" t="s">
        <v>81</v>
      </c>
      <c r="R94" t="s">
        <v>217</v>
      </c>
      <c r="S94" t="s">
        <v>345</v>
      </c>
      <c r="W94">
        <f>IF(Calcul!$F$30,"lib_ok","lib")</f>
        <v>0</v>
      </c>
      <c r="X94">
        <f>NOT(OR(Calcul!$G$29,Calcul!$I$48))</f>
        <v>0</v>
      </c>
      <c r="Y94">
        <f>Rendu!$BN$47</f>
        <v>0</v>
      </c>
    </row>
    <row r="95" spans="1:26">
      <c r="A95" t="s">
        <v>347</v>
      </c>
      <c r="B95" t="s">
        <v>183</v>
      </c>
      <c r="C95">
        <v>128</v>
      </c>
      <c r="D95">
        <v>0</v>
      </c>
      <c r="E95">
        <v>24</v>
      </c>
      <c r="F95">
        <v>24</v>
      </c>
      <c r="G95">
        <v>8</v>
      </c>
      <c r="H95" t="s">
        <v>184</v>
      </c>
      <c r="I95">
        <v>12</v>
      </c>
      <c r="J95">
        <v>1</v>
      </c>
      <c r="K95" t="s">
        <v>196</v>
      </c>
      <c r="R95" t="s">
        <v>208</v>
      </c>
      <c r="S95" t="s">
        <v>348</v>
      </c>
      <c r="V95">
        <f>IF(Calcul!$F$31,"✓","")</f>
        <v>0</v>
      </c>
      <c r="W95">
        <f>IF(Calcul!$D$31,"cb_on",IF(Calcul!$F$31,"cb_auto","cb_off"))</f>
        <v>0</v>
      </c>
      <c r="X95">
        <f>NOT(OR(Calcul!$G$29,Calcul!$I$48))</f>
        <v>0</v>
      </c>
      <c r="Y95">
        <f>Rendu!$BN$48+3</f>
        <v>0</v>
      </c>
    </row>
    <row r="96" spans="1:26">
      <c r="A96" t="s">
        <v>349</v>
      </c>
      <c r="B96" t="s">
        <v>109</v>
      </c>
      <c r="C96">
        <v>160</v>
      </c>
      <c r="D96">
        <v>0</v>
      </c>
      <c r="E96">
        <v>350</v>
      </c>
      <c r="F96">
        <v>30</v>
      </c>
      <c r="H96" t="s">
        <v>184</v>
      </c>
      <c r="I96">
        <v>13.5</v>
      </c>
      <c r="J96">
        <v>0</v>
      </c>
      <c r="K96" t="s">
        <v>185</v>
      </c>
      <c r="L96" t="s">
        <v>191</v>
      </c>
      <c r="M96" t="s">
        <v>192</v>
      </c>
      <c r="P96" t="s">
        <v>84</v>
      </c>
      <c r="R96" t="s">
        <v>217</v>
      </c>
      <c r="S96" t="s">
        <v>348</v>
      </c>
      <c r="W96">
        <f>IF(Calcul!$F$31,"lib_ok","lib")</f>
        <v>0</v>
      </c>
      <c r="X96">
        <f>NOT(OR(Calcul!$G$29,Calcul!$I$48))</f>
        <v>0</v>
      </c>
      <c r="Y96">
        <f>Rendu!$BN$48</f>
        <v>0</v>
      </c>
    </row>
    <row r="97" spans="1:26">
      <c r="A97" t="s">
        <v>350</v>
      </c>
      <c r="B97" t="s">
        <v>183</v>
      </c>
      <c r="C97">
        <v>128</v>
      </c>
      <c r="D97">
        <v>0</v>
      </c>
      <c r="E97">
        <v>24</v>
      </c>
      <c r="F97">
        <v>24</v>
      </c>
      <c r="G97">
        <v>8</v>
      </c>
      <c r="H97" t="s">
        <v>184</v>
      </c>
      <c r="I97">
        <v>12</v>
      </c>
      <c r="J97">
        <v>1</v>
      </c>
      <c r="K97" t="s">
        <v>196</v>
      </c>
      <c r="R97" t="s">
        <v>208</v>
      </c>
      <c r="S97" t="s">
        <v>351</v>
      </c>
      <c r="V97">
        <f>IF(Calcul!$F$32,"✓","")</f>
        <v>0</v>
      </c>
      <c r="W97">
        <f>IF(Calcul!$D$32,"cb_on",IF(Calcul!$F$32,"cb_auto","cb_off"))</f>
        <v>0</v>
      </c>
      <c r="X97">
        <f>NOT(OR(Calcul!$G$29,Calcul!$I$48))</f>
        <v>0</v>
      </c>
      <c r="Y97">
        <f>Rendu!$BN$49+3</f>
        <v>0</v>
      </c>
    </row>
    <row r="98" spans="1:26">
      <c r="A98" t="s">
        <v>352</v>
      </c>
      <c r="B98" t="s">
        <v>109</v>
      </c>
      <c r="C98">
        <v>160</v>
      </c>
      <c r="D98">
        <v>0</v>
      </c>
      <c r="E98">
        <v>350</v>
      </c>
      <c r="F98">
        <v>30</v>
      </c>
      <c r="H98" t="s">
        <v>184</v>
      </c>
      <c r="I98">
        <v>13.5</v>
      </c>
      <c r="J98">
        <v>0</v>
      </c>
      <c r="K98" t="s">
        <v>185</v>
      </c>
      <c r="L98" t="s">
        <v>191</v>
      </c>
      <c r="M98" t="s">
        <v>192</v>
      </c>
      <c r="P98" t="s">
        <v>86</v>
      </c>
      <c r="R98" t="s">
        <v>217</v>
      </c>
      <c r="S98" t="s">
        <v>351</v>
      </c>
      <c r="W98">
        <f>IF(Calcul!$F$32,"lib_ok","lib")</f>
        <v>0</v>
      </c>
      <c r="X98">
        <f>NOT(OR(Calcul!$G$29,Calcul!$I$48))</f>
        <v>0</v>
      </c>
      <c r="Y98">
        <f>Rendu!$BN$49</f>
        <v>0</v>
      </c>
    </row>
    <row r="99" spans="1:26">
      <c r="A99" t="s">
        <v>353</v>
      </c>
      <c r="B99" t="s">
        <v>109</v>
      </c>
      <c r="C99">
        <v>100</v>
      </c>
      <c r="D99">
        <v>0</v>
      </c>
      <c r="E99">
        <v>60</v>
      </c>
      <c r="F99">
        <v>18</v>
      </c>
      <c r="H99" t="s">
        <v>184</v>
      </c>
      <c r="I99">
        <v>8.5</v>
      </c>
      <c r="J99">
        <v>1</v>
      </c>
      <c r="K99" t="s">
        <v>185</v>
      </c>
      <c r="L99" t="s">
        <v>191</v>
      </c>
      <c r="M99" t="s">
        <v>192</v>
      </c>
      <c r="O99">
        <v>1.5</v>
      </c>
      <c r="P99" t="s">
        <v>257</v>
      </c>
      <c r="R99" t="s">
        <v>154</v>
      </c>
      <c r="X99">
        <f>NOT(OR(Calcul!$G$29,Calcul!$I$48))</f>
        <v>0</v>
      </c>
      <c r="Y99">
        <f>Rendu!$BN$50</f>
        <v>0</v>
      </c>
    </row>
    <row r="100" spans="1:26">
      <c r="A100" t="s">
        <v>354</v>
      </c>
      <c r="B100" t="s">
        <v>183</v>
      </c>
      <c r="C100">
        <v>98</v>
      </c>
      <c r="D100">
        <v>0</v>
      </c>
      <c r="E100">
        <v>24</v>
      </c>
      <c r="F100">
        <v>24</v>
      </c>
      <c r="G100">
        <v>8</v>
      </c>
      <c r="H100" t="s">
        <v>184</v>
      </c>
      <c r="I100">
        <v>12</v>
      </c>
      <c r="J100">
        <v>1</v>
      </c>
      <c r="K100" t="s">
        <v>196</v>
      </c>
      <c r="R100" t="s">
        <v>208</v>
      </c>
      <c r="S100" t="s">
        <v>355</v>
      </c>
      <c r="V100">
        <f>IF(Calcul!$F$33,"✓","")</f>
        <v>0</v>
      </c>
      <c r="W100">
        <f>IF(Calcul!$D$33,"cb_on",IF(Calcul!$F$33,"cb_auto","cb_off"))</f>
        <v>0</v>
      </c>
      <c r="X100">
        <f>NOT(OR(Calcul!$G$29,Calcul!$I$48))</f>
        <v>0</v>
      </c>
      <c r="Y100">
        <f>Rendu!$BN$51+3</f>
        <v>0</v>
      </c>
    </row>
    <row r="101" spans="1:26">
      <c r="A101" t="s">
        <v>356</v>
      </c>
      <c r="B101" t="s">
        <v>109</v>
      </c>
      <c r="C101">
        <v>130</v>
      </c>
      <c r="D101">
        <v>0</v>
      </c>
      <c r="E101">
        <v>380</v>
      </c>
      <c r="F101">
        <v>30</v>
      </c>
      <c r="H101" t="s">
        <v>184</v>
      </c>
      <c r="I101">
        <v>13.5</v>
      </c>
      <c r="J101">
        <v>1</v>
      </c>
      <c r="K101" t="s">
        <v>185</v>
      </c>
      <c r="L101" t="s">
        <v>191</v>
      </c>
      <c r="M101" t="s">
        <v>192</v>
      </c>
      <c r="P101" t="s">
        <v>88</v>
      </c>
      <c r="R101" t="s">
        <v>217</v>
      </c>
      <c r="S101" t="s">
        <v>355</v>
      </c>
      <c r="W101">
        <f>IF(Calcul!$F$33,"lib_ok","lib")</f>
        <v>0</v>
      </c>
      <c r="X101">
        <f>NOT(OR(Calcul!$G$29,Calcul!$I$48))</f>
        <v>0</v>
      </c>
      <c r="Y101">
        <f>Rendu!$BN$51</f>
        <v>0</v>
      </c>
    </row>
    <row r="102" spans="1:26">
      <c r="A102" t="s">
        <v>357</v>
      </c>
      <c r="B102" t="s">
        <v>183</v>
      </c>
      <c r="C102">
        <v>128</v>
      </c>
      <c r="D102">
        <v>0</v>
      </c>
      <c r="E102">
        <v>24</v>
      </c>
      <c r="F102">
        <v>24</v>
      </c>
      <c r="G102">
        <v>8</v>
      </c>
      <c r="H102" t="s">
        <v>184</v>
      </c>
      <c r="I102">
        <v>12</v>
      </c>
      <c r="J102">
        <v>1</v>
      </c>
      <c r="K102" t="s">
        <v>196</v>
      </c>
      <c r="R102" t="s">
        <v>208</v>
      </c>
      <c r="S102" t="s">
        <v>358</v>
      </c>
      <c r="V102">
        <f>IF(Calcul!$F$34,"✓","")</f>
        <v>0</v>
      </c>
      <c r="W102">
        <f>IF(Calcul!$D$34,"cb_on",IF(Calcul!$F$34,"cb_auto","cb_off"))</f>
        <v>0</v>
      </c>
      <c r="X102">
        <f>NOT(OR(Calcul!$G$29,Calcul!$I$48))</f>
        <v>0</v>
      </c>
      <c r="Y102">
        <f>Rendu!$BN$52+3</f>
        <v>0</v>
      </c>
    </row>
    <row r="103" spans="1:26">
      <c r="A103" t="s">
        <v>359</v>
      </c>
      <c r="B103" t="s">
        <v>109</v>
      </c>
      <c r="C103">
        <v>160</v>
      </c>
      <c r="D103">
        <v>0</v>
      </c>
      <c r="E103">
        <v>350</v>
      </c>
      <c r="F103">
        <v>30</v>
      </c>
      <c r="H103" t="s">
        <v>184</v>
      </c>
      <c r="I103">
        <v>13.5</v>
      </c>
      <c r="J103">
        <v>0</v>
      </c>
      <c r="K103" t="s">
        <v>185</v>
      </c>
      <c r="L103" t="s">
        <v>191</v>
      </c>
      <c r="M103" t="s">
        <v>192</v>
      </c>
      <c r="P103" t="s">
        <v>91</v>
      </c>
      <c r="R103" t="s">
        <v>217</v>
      </c>
      <c r="S103" t="s">
        <v>358</v>
      </c>
      <c r="W103">
        <f>IF(Calcul!$F$34,"lib_ok","lib")</f>
        <v>0</v>
      </c>
      <c r="X103">
        <f>NOT(OR(Calcul!$G$29,Calcul!$I$48))</f>
        <v>0</v>
      </c>
      <c r="Y103">
        <f>Rendu!$BN$52</f>
        <v>0</v>
      </c>
    </row>
    <row r="104" spans="1:26">
      <c r="A104" t="s">
        <v>360</v>
      </c>
      <c r="B104" t="s">
        <v>183</v>
      </c>
      <c r="C104">
        <v>128</v>
      </c>
      <c r="D104">
        <v>0</v>
      </c>
      <c r="E104">
        <v>24</v>
      </c>
      <c r="F104">
        <v>24</v>
      </c>
      <c r="G104">
        <v>8</v>
      </c>
      <c r="H104" t="s">
        <v>184</v>
      </c>
      <c r="I104">
        <v>12</v>
      </c>
      <c r="J104">
        <v>1</v>
      </c>
      <c r="K104" t="s">
        <v>196</v>
      </c>
      <c r="R104" t="s">
        <v>208</v>
      </c>
      <c r="S104" t="s">
        <v>361</v>
      </c>
      <c r="V104">
        <f>IF(Calcul!$F$35,"✓","")</f>
        <v>0</v>
      </c>
      <c r="W104">
        <f>IF(Calcul!$D$35,"cb_on",IF(Calcul!$F$35,"cb_auto","cb_off"))</f>
        <v>0</v>
      </c>
      <c r="X104">
        <f>NOT(OR(Calcul!$G$29,Calcul!$I$48))</f>
        <v>0</v>
      </c>
      <c r="Y104">
        <f>Rendu!$BN$53+3</f>
        <v>0</v>
      </c>
    </row>
    <row r="105" spans="1:26">
      <c r="A105" t="s">
        <v>362</v>
      </c>
      <c r="B105" t="s">
        <v>109</v>
      </c>
      <c r="C105">
        <v>160</v>
      </c>
      <c r="D105">
        <v>0</v>
      </c>
      <c r="E105">
        <v>350</v>
      </c>
      <c r="F105">
        <v>30</v>
      </c>
      <c r="H105" t="s">
        <v>184</v>
      </c>
      <c r="I105">
        <v>13.5</v>
      </c>
      <c r="J105">
        <v>0</v>
      </c>
      <c r="K105" t="s">
        <v>185</v>
      </c>
      <c r="L105" t="s">
        <v>191</v>
      </c>
      <c r="M105" t="s">
        <v>192</v>
      </c>
      <c r="P105" t="s">
        <v>93</v>
      </c>
      <c r="R105" t="s">
        <v>217</v>
      </c>
      <c r="S105" t="s">
        <v>361</v>
      </c>
      <c r="W105">
        <f>IF(Calcul!$F$35,"lib_ok","lib")</f>
        <v>0</v>
      </c>
      <c r="X105">
        <f>NOT(OR(Calcul!$G$29,Calcul!$I$48))</f>
        <v>0</v>
      </c>
      <c r="Y105">
        <f>Rendu!$BN$53</f>
        <v>0</v>
      </c>
    </row>
    <row r="106" spans="1:26">
      <c r="A106" t="s">
        <v>363</v>
      </c>
      <c r="B106" t="s">
        <v>183</v>
      </c>
      <c r="C106">
        <v>32</v>
      </c>
      <c r="D106">
        <v>103</v>
      </c>
      <c r="E106">
        <v>503</v>
      </c>
      <c r="F106">
        <v>50</v>
      </c>
      <c r="G106">
        <v>16</v>
      </c>
      <c r="H106" t="s">
        <v>184</v>
      </c>
      <c r="R106" t="s">
        <v>200</v>
      </c>
      <c r="W106">
        <f>IF(Calcul!$B$52=7,"grp_actif","grp")</f>
        <v>0</v>
      </c>
      <c r="Y106">
        <f>Rendu!$BN$56</f>
        <v>0</v>
      </c>
      <c r="Z106">
        <f>SUM(Rendu!$BM$56:Rendu!$BM$61)</f>
        <v>0</v>
      </c>
    </row>
    <row r="107" spans="1:26">
      <c r="A107" t="s">
        <v>364</v>
      </c>
      <c r="B107" t="s">
        <v>202</v>
      </c>
      <c r="C107">
        <v>54</v>
      </c>
      <c r="D107">
        <v>103</v>
      </c>
      <c r="E107">
        <v>0</v>
      </c>
      <c r="F107">
        <v>40</v>
      </c>
      <c r="H107" t="s">
        <v>184</v>
      </c>
      <c r="R107" t="s">
        <v>202</v>
      </c>
      <c r="X107">
        <f>NOT(OR(Calcul!$G$36,Calcul!$I$49))</f>
        <v>0</v>
      </c>
      <c r="Y107">
        <f>Rendu!$BN$58+2</f>
        <v>0</v>
      </c>
      <c r="Z107">
        <f>Rendu!$BN$61-Rendu!$BN$58-6</f>
        <v>0</v>
      </c>
    </row>
    <row r="108" spans="1:26">
      <c r="A108" t="s">
        <v>365</v>
      </c>
      <c r="B108" t="s">
        <v>183</v>
      </c>
      <c r="C108">
        <v>42</v>
      </c>
      <c r="D108">
        <v>0</v>
      </c>
      <c r="E108">
        <v>26</v>
      </c>
      <c r="F108">
        <v>26</v>
      </c>
      <c r="G108">
        <v>9</v>
      </c>
      <c r="H108" t="s">
        <v>184</v>
      </c>
      <c r="I108">
        <v>13</v>
      </c>
      <c r="K108" t="s">
        <v>196</v>
      </c>
      <c r="P108" t="s">
        <v>204</v>
      </c>
      <c r="R108" t="s">
        <v>205</v>
      </c>
      <c r="S108" t="s">
        <v>366</v>
      </c>
      <c r="V108">
        <f>IF(OR(Calcul!$G$36,Calcul!$I$49),"▸","▾")</f>
        <v>0</v>
      </c>
      <c r="W108">
        <f>IF(Calcul!$I$49,"chev_lock","chev")</f>
        <v>0</v>
      </c>
      <c r="Y108">
        <f>Rendu!$BN$57+6</f>
        <v>0</v>
      </c>
    </row>
    <row r="109" spans="1:26">
      <c r="A109" t="s">
        <v>367</v>
      </c>
      <c r="B109" t="s">
        <v>183</v>
      </c>
      <c r="C109">
        <v>78</v>
      </c>
      <c r="D109">
        <v>0</v>
      </c>
      <c r="E109">
        <v>24</v>
      </c>
      <c r="F109">
        <v>24</v>
      </c>
      <c r="G109">
        <v>8</v>
      </c>
      <c r="H109" t="s">
        <v>184</v>
      </c>
      <c r="I109">
        <v>12</v>
      </c>
      <c r="J109">
        <v>1</v>
      </c>
      <c r="K109" t="s">
        <v>196</v>
      </c>
      <c r="R109" t="s">
        <v>208</v>
      </c>
      <c r="S109" t="s">
        <v>368</v>
      </c>
      <c r="V109">
        <f>IF(Calcul!$F$36,"✓","")</f>
        <v>0</v>
      </c>
      <c r="W109">
        <f>IF(Calcul!$I$49,"cb_lock",IF(Calcul!$D$36,"cb_on",IF(Calcul!$F$36,"cb_auto","cb_off")))</f>
        <v>0</v>
      </c>
      <c r="Y109">
        <f>Rendu!$BN$57+7</f>
        <v>0</v>
      </c>
    </row>
    <row r="110" spans="1:26">
      <c r="A110" t="s">
        <v>369</v>
      </c>
      <c r="B110" t="s">
        <v>109</v>
      </c>
      <c r="C110">
        <v>108</v>
      </c>
      <c r="D110">
        <v>0</v>
      </c>
      <c r="E110">
        <v>16</v>
      </c>
      <c r="F110">
        <v>38</v>
      </c>
      <c r="H110" t="s">
        <v>211</v>
      </c>
      <c r="I110">
        <v>11</v>
      </c>
      <c r="J110">
        <v>0</v>
      </c>
      <c r="K110" t="s">
        <v>212</v>
      </c>
      <c r="L110" t="s">
        <v>191</v>
      </c>
      <c r="M110" t="s">
        <v>192</v>
      </c>
      <c r="P110" t="s">
        <v>370</v>
      </c>
      <c r="R110" t="s">
        <v>214</v>
      </c>
      <c r="S110" t="s">
        <v>371</v>
      </c>
      <c r="W110">
        <f>IF(Calcul!$I$49,"num_lock","num")</f>
        <v>0</v>
      </c>
      <c r="Y110">
        <f>Rendu!$BN$57</f>
        <v>0</v>
      </c>
    </row>
    <row r="111" spans="1:26">
      <c r="A111" t="s">
        <v>372</v>
      </c>
      <c r="B111" t="s">
        <v>109</v>
      </c>
      <c r="C111">
        <v>130</v>
      </c>
      <c r="D111">
        <v>0</v>
      </c>
      <c r="E111">
        <v>360</v>
      </c>
      <c r="F111">
        <v>38</v>
      </c>
      <c r="H111" t="s">
        <v>184</v>
      </c>
      <c r="I111">
        <v>15</v>
      </c>
      <c r="J111">
        <v>1</v>
      </c>
      <c r="K111" t="s">
        <v>185</v>
      </c>
      <c r="L111" t="s">
        <v>191</v>
      </c>
      <c r="M111" t="s">
        <v>192</v>
      </c>
      <c r="P111" t="s">
        <v>95</v>
      </c>
      <c r="R111" t="s">
        <v>217</v>
      </c>
      <c r="S111" t="s">
        <v>371</v>
      </c>
      <c r="W111">
        <f>IF(Calcul!$I$49,"lib_lock",IF(Calcul!$F$36,"lib_ok","lib"))</f>
        <v>0</v>
      </c>
      <c r="Y111">
        <f>Rendu!$BN$57</f>
        <v>0</v>
      </c>
    </row>
    <row r="112" spans="1:26">
      <c r="A112" t="s">
        <v>373</v>
      </c>
      <c r="B112" t="s">
        <v>219</v>
      </c>
      <c r="C112">
        <v>509</v>
      </c>
      <c r="D112">
        <v>0</v>
      </c>
      <c r="E112">
        <v>12</v>
      </c>
      <c r="F112">
        <v>12</v>
      </c>
      <c r="H112" t="s">
        <v>184</v>
      </c>
      <c r="R112" t="s">
        <v>220</v>
      </c>
      <c r="W112">
        <f>IF(Calcul!$I$49,"led_off_lock",IF(Calcul!$L$49="ok","led_on","led_off"))</f>
        <v>0</v>
      </c>
      <c r="Y112">
        <f>Rendu!$BN$57+13</f>
        <v>0</v>
      </c>
    </row>
    <row r="113" spans="1:25">
      <c r="A113" t="s">
        <v>374</v>
      </c>
      <c r="B113" t="s">
        <v>183</v>
      </c>
      <c r="C113">
        <v>98</v>
      </c>
      <c r="D113">
        <v>0</v>
      </c>
      <c r="E113">
        <v>24</v>
      </c>
      <c r="F113">
        <v>24</v>
      </c>
      <c r="G113">
        <v>8</v>
      </c>
      <c r="H113" t="s">
        <v>184</v>
      </c>
      <c r="I113">
        <v>12</v>
      </c>
      <c r="J113">
        <v>1</v>
      </c>
      <c r="K113" t="s">
        <v>196</v>
      </c>
      <c r="R113" t="s">
        <v>208</v>
      </c>
      <c r="S113" t="s">
        <v>375</v>
      </c>
      <c r="V113">
        <f>IF(Calcul!$F$37,"✓","")</f>
        <v>0</v>
      </c>
      <c r="W113">
        <f>IF(Calcul!$D$37,"cb_on",IF(Calcul!$F$37,"cb_auto","cb_off"))</f>
        <v>0</v>
      </c>
      <c r="X113">
        <f>NOT(OR(Calcul!$G$36,Calcul!$I$49))</f>
        <v>0</v>
      </c>
      <c r="Y113">
        <f>Rendu!$BN$58+3</f>
        <v>0</v>
      </c>
    </row>
    <row r="114" spans="1:25">
      <c r="A114" t="s">
        <v>376</v>
      </c>
      <c r="B114" t="s">
        <v>109</v>
      </c>
      <c r="C114">
        <v>130</v>
      </c>
      <c r="D114">
        <v>0</v>
      </c>
      <c r="E114">
        <v>380</v>
      </c>
      <c r="F114">
        <v>30</v>
      </c>
      <c r="H114" t="s">
        <v>184</v>
      </c>
      <c r="I114">
        <v>13.5</v>
      </c>
      <c r="J114">
        <v>1</v>
      </c>
      <c r="K114" t="s">
        <v>185</v>
      </c>
      <c r="L114" t="s">
        <v>191</v>
      </c>
      <c r="M114" t="s">
        <v>192</v>
      </c>
      <c r="P114" t="s">
        <v>97</v>
      </c>
      <c r="R114" t="s">
        <v>217</v>
      </c>
      <c r="S114" t="s">
        <v>375</v>
      </c>
      <c r="W114">
        <f>IF(Calcul!$F$37,"lib_ok","lib")</f>
        <v>0</v>
      </c>
      <c r="X114">
        <f>NOT(OR(Calcul!$G$36,Calcul!$I$49))</f>
        <v>0</v>
      </c>
      <c r="Y114">
        <f>Rendu!$BN$58</f>
        <v>0</v>
      </c>
    </row>
    <row r="115" spans="1:25">
      <c r="A115" t="s">
        <v>377</v>
      </c>
      <c r="B115" t="s">
        <v>183</v>
      </c>
      <c r="C115">
        <v>98</v>
      </c>
      <c r="D115">
        <v>0</v>
      </c>
      <c r="E115">
        <v>24</v>
      </c>
      <c r="F115">
        <v>24</v>
      </c>
      <c r="G115">
        <v>8</v>
      </c>
      <c r="H115" t="s">
        <v>184</v>
      </c>
      <c r="I115">
        <v>12</v>
      </c>
      <c r="J115">
        <v>1</v>
      </c>
      <c r="K115" t="s">
        <v>196</v>
      </c>
      <c r="R115" t="s">
        <v>208</v>
      </c>
      <c r="S115" t="s">
        <v>378</v>
      </c>
      <c r="V115">
        <f>IF(Calcul!$F$38,"✓","")</f>
        <v>0</v>
      </c>
      <c r="W115">
        <f>IF(Calcul!$D$38,"cb_on",IF(Calcul!$F$38,"cb_auto","cb_off"))</f>
        <v>0</v>
      </c>
      <c r="X115">
        <f>NOT(OR(Calcul!$G$36,Calcul!$I$49))</f>
        <v>0</v>
      </c>
      <c r="Y115">
        <f>Rendu!$BN$59+3</f>
        <v>0</v>
      </c>
    </row>
    <row r="116" spans="1:25">
      <c r="A116" t="s">
        <v>379</v>
      </c>
      <c r="B116" t="s">
        <v>109</v>
      </c>
      <c r="C116">
        <v>130</v>
      </c>
      <c r="D116">
        <v>0</v>
      </c>
      <c r="E116">
        <v>380</v>
      </c>
      <c r="F116">
        <v>30</v>
      </c>
      <c r="H116" t="s">
        <v>184</v>
      </c>
      <c r="I116">
        <v>13.5</v>
      </c>
      <c r="J116">
        <v>1</v>
      </c>
      <c r="K116" t="s">
        <v>185</v>
      </c>
      <c r="L116" t="s">
        <v>191</v>
      </c>
      <c r="M116" t="s">
        <v>192</v>
      </c>
      <c r="P116" t="s">
        <v>99</v>
      </c>
      <c r="R116" t="s">
        <v>217</v>
      </c>
      <c r="S116" t="s">
        <v>378</v>
      </c>
      <c r="W116">
        <f>IF(Calcul!$F$38,"lib_ok","lib")</f>
        <v>0</v>
      </c>
      <c r="X116">
        <f>NOT(OR(Calcul!$G$36,Calcul!$I$49))</f>
        <v>0</v>
      </c>
      <c r="Y116">
        <f>Rendu!$BN$59</f>
        <v>0</v>
      </c>
    </row>
    <row r="117" spans="1:25">
      <c r="A117" t="s">
        <v>380</v>
      </c>
      <c r="B117" t="s">
        <v>183</v>
      </c>
      <c r="C117">
        <v>98</v>
      </c>
      <c r="D117">
        <v>0</v>
      </c>
      <c r="E117">
        <v>24</v>
      </c>
      <c r="F117">
        <v>24</v>
      </c>
      <c r="G117">
        <v>8</v>
      </c>
      <c r="H117" t="s">
        <v>184</v>
      </c>
      <c r="I117">
        <v>12</v>
      </c>
      <c r="J117">
        <v>1</v>
      </c>
      <c r="K117" t="s">
        <v>196</v>
      </c>
      <c r="R117" t="s">
        <v>208</v>
      </c>
      <c r="S117" t="s">
        <v>381</v>
      </c>
      <c r="V117">
        <f>IF(Calcul!$F$39,"✓","")</f>
        <v>0</v>
      </c>
      <c r="W117">
        <f>IF(Calcul!$D$39,"cb_on",IF(Calcul!$F$39,"cb_auto","cb_off"))</f>
        <v>0</v>
      </c>
      <c r="X117">
        <f>NOT(OR(Calcul!$G$36,Calcul!$I$49))</f>
        <v>0</v>
      </c>
      <c r="Y117">
        <f>Rendu!$BN$60+3</f>
        <v>0</v>
      </c>
    </row>
    <row r="118" spans="1:25">
      <c r="A118" t="s">
        <v>382</v>
      </c>
      <c r="B118" t="s">
        <v>109</v>
      </c>
      <c r="C118">
        <v>130</v>
      </c>
      <c r="D118">
        <v>0</v>
      </c>
      <c r="E118">
        <v>380</v>
      </c>
      <c r="F118">
        <v>30</v>
      </c>
      <c r="H118" t="s">
        <v>184</v>
      </c>
      <c r="I118">
        <v>13.5</v>
      </c>
      <c r="J118">
        <v>1</v>
      </c>
      <c r="K118" t="s">
        <v>185</v>
      </c>
      <c r="L118" t="s">
        <v>191</v>
      </c>
      <c r="M118" t="s">
        <v>192</v>
      </c>
      <c r="P118" t="s">
        <v>101</v>
      </c>
      <c r="R118" t="s">
        <v>217</v>
      </c>
      <c r="S118" t="s">
        <v>381</v>
      </c>
      <c r="W118">
        <f>IF(Calcul!$F$39,"lib_ok","lib")</f>
        <v>0</v>
      </c>
      <c r="X118">
        <f>NOT(OR(Calcul!$G$36,Calcul!$I$49))</f>
        <v>0</v>
      </c>
      <c r="Y118">
        <f>Rendu!$BN$60</f>
        <v>0</v>
      </c>
    </row>
    <row r="119" spans="1:25">
      <c r="A119" t="s">
        <v>383</v>
      </c>
      <c r="B119" t="s">
        <v>384</v>
      </c>
      <c r="C119">
        <v>567</v>
      </c>
      <c r="D119">
        <v>225</v>
      </c>
      <c r="E119">
        <v>531</v>
      </c>
      <c r="F119">
        <v>20</v>
      </c>
      <c r="G119">
        <v>20</v>
      </c>
      <c r="H119" t="s">
        <v>184</v>
      </c>
      <c r="R119" t="s">
        <v>385</v>
      </c>
    </row>
    <row r="120" spans="1:25">
      <c r="A120" t="s">
        <v>386</v>
      </c>
      <c r="B120" t="s">
        <v>387</v>
      </c>
      <c r="C120">
        <v>567</v>
      </c>
      <c r="D120">
        <v>63</v>
      </c>
      <c r="E120">
        <v>531</v>
      </c>
      <c r="F120">
        <v>45</v>
      </c>
      <c r="G120">
        <v>20</v>
      </c>
      <c r="H120" t="s">
        <v>184</v>
      </c>
      <c r="R120" t="s">
        <v>388</v>
      </c>
    </row>
    <row r="121" spans="1:25">
      <c r="A121" t="s">
        <v>389</v>
      </c>
      <c r="B121" t="s">
        <v>390</v>
      </c>
      <c r="C121">
        <v>567</v>
      </c>
      <c r="D121">
        <v>108</v>
      </c>
      <c r="E121">
        <v>18</v>
      </c>
      <c r="F121">
        <v>27</v>
      </c>
      <c r="G121">
        <v>20</v>
      </c>
      <c r="H121" t="s">
        <v>184</v>
      </c>
      <c r="R121" t="s">
        <v>388</v>
      </c>
    </row>
    <row r="122" spans="1:25">
      <c r="A122" t="s">
        <v>391</v>
      </c>
      <c r="B122" t="s">
        <v>390</v>
      </c>
      <c r="C122">
        <v>702</v>
      </c>
      <c r="D122">
        <v>108</v>
      </c>
      <c r="E122">
        <v>9</v>
      </c>
      <c r="F122">
        <v>27</v>
      </c>
      <c r="G122">
        <v>20</v>
      </c>
      <c r="H122" t="s">
        <v>184</v>
      </c>
      <c r="R122" t="s">
        <v>388</v>
      </c>
    </row>
    <row r="123" spans="1:25">
      <c r="A123" t="s">
        <v>392</v>
      </c>
      <c r="B123" t="s">
        <v>390</v>
      </c>
      <c r="C123">
        <v>828</v>
      </c>
      <c r="D123">
        <v>108</v>
      </c>
      <c r="E123">
        <v>9</v>
      </c>
      <c r="F123">
        <v>27</v>
      </c>
      <c r="G123">
        <v>20</v>
      </c>
      <c r="H123" t="s">
        <v>184</v>
      </c>
      <c r="R123" t="s">
        <v>388</v>
      </c>
    </row>
    <row r="124" spans="1:25">
      <c r="A124" t="s">
        <v>393</v>
      </c>
      <c r="B124" t="s">
        <v>390</v>
      </c>
      <c r="C124">
        <v>954</v>
      </c>
      <c r="D124">
        <v>108</v>
      </c>
      <c r="E124">
        <v>9</v>
      </c>
      <c r="F124">
        <v>27</v>
      </c>
      <c r="G124">
        <v>20</v>
      </c>
      <c r="H124" t="s">
        <v>184</v>
      </c>
      <c r="R124" t="s">
        <v>388</v>
      </c>
    </row>
    <row r="125" spans="1:25">
      <c r="A125" t="s">
        <v>394</v>
      </c>
      <c r="B125" t="s">
        <v>390</v>
      </c>
      <c r="C125">
        <v>1080</v>
      </c>
      <c r="D125">
        <v>108</v>
      </c>
      <c r="E125">
        <v>18</v>
      </c>
      <c r="F125">
        <v>27</v>
      </c>
      <c r="G125">
        <v>20</v>
      </c>
      <c r="H125" t="s">
        <v>184</v>
      </c>
      <c r="R125" t="s">
        <v>388</v>
      </c>
    </row>
    <row r="126" spans="1:25">
      <c r="A126" t="s">
        <v>395</v>
      </c>
      <c r="B126" t="s">
        <v>390</v>
      </c>
      <c r="C126">
        <v>567</v>
      </c>
      <c r="D126">
        <v>135</v>
      </c>
      <c r="E126">
        <v>531</v>
      </c>
      <c r="F126">
        <v>18</v>
      </c>
      <c r="G126">
        <v>20</v>
      </c>
      <c r="H126" t="s">
        <v>184</v>
      </c>
      <c r="R126" t="s">
        <v>388</v>
      </c>
    </row>
    <row r="127" spans="1:25">
      <c r="A127" t="s">
        <v>396</v>
      </c>
      <c r="B127" t="s">
        <v>390</v>
      </c>
      <c r="C127">
        <v>567</v>
      </c>
      <c r="D127">
        <v>153</v>
      </c>
      <c r="E127">
        <v>18</v>
      </c>
      <c r="F127">
        <v>27</v>
      </c>
      <c r="G127">
        <v>20</v>
      </c>
      <c r="H127" t="s">
        <v>184</v>
      </c>
      <c r="R127" t="s">
        <v>388</v>
      </c>
    </row>
    <row r="128" spans="1:25">
      <c r="A128" t="s">
        <v>397</v>
      </c>
      <c r="B128" t="s">
        <v>390</v>
      </c>
      <c r="C128">
        <v>828</v>
      </c>
      <c r="D128">
        <v>153</v>
      </c>
      <c r="E128">
        <v>9</v>
      </c>
      <c r="F128">
        <v>27</v>
      </c>
      <c r="G128">
        <v>20</v>
      </c>
      <c r="H128" t="s">
        <v>184</v>
      </c>
      <c r="R128" t="s">
        <v>388</v>
      </c>
    </row>
    <row r="129" spans="1:18">
      <c r="A129" t="s">
        <v>398</v>
      </c>
      <c r="B129" t="s">
        <v>390</v>
      </c>
      <c r="C129">
        <v>954</v>
      </c>
      <c r="D129">
        <v>153</v>
      </c>
      <c r="E129">
        <v>9</v>
      </c>
      <c r="F129">
        <v>27</v>
      </c>
      <c r="G129">
        <v>20</v>
      </c>
      <c r="H129" t="s">
        <v>184</v>
      </c>
      <c r="R129" t="s">
        <v>388</v>
      </c>
    </row>
    <row r="130" spans="1:18">
      <c r="A130" t="s">
        <v>399</v>
      </c>
      <c r="B130" t="s">
        <v>390</v>
      </c>
      <c r="C130">
        <v>1080</v>
      </c>
      <c r="D130">
        <v>153</v>
      </c>
      <c r="E130">
        <v>18</v>
      </c>
      <c r="F130">
        <v>27</v>
      </c>
      <c r="G130">
        <v>20</v>
      </c>
      <c r="H130" t="s">
        <v>184</v>
      </c>
      <c r="R130" t="s">
        <v>388</v>
      </c>
    </row>
    <row r="131" spans="1:18">
      <c r="A131" t="s">
        <v>400</v>
      </c>
      <c r="B131" t="s">
        <v>390</v>
      </c>
      <c r="C131">
        <v>567</v>
      </c>
      <c r="D131">
        <v>180</v>
      </c>
      <c r="E131">
        <v>531</v>
      </c>
      <c r="F131">
        <v>18</v>
      </c>
      <c r="G131">
        <v>20</v>
      </c>
      <c r="H131" t="s">
        <v>184</v>
      </c>
      <c r="R131" t="s">
        <v>388</v>
      </c>
    </row>
    <row r="132" spans="1:18">
      <c r="A132" t="s">
        <v>401</v>
      </c>
      <c r="B132" t="s">
        <v>390</v>
      </c>
      <c r="C132">
        <v>567</v>
      </c>
      <c r="D132">
        <v>198</v>
      </c>
      <c r="E132">
        <v>18</v>
      </c>
      <c r="F132">
        <v>27</v>
      </c>
      <c r="G132">
        <v>20</v>
      </c>
      <c r="H132" t="s">
        <v>184</v>
      </c>
      <c r="R132" t="s">
        <v>388</v>
      </c>
    </row>
    <row r="133" spans="1:18">
      <c r="A133" t="s">
        <v>402</v>
      </c>
      <c r="B133" t="s">
        <v>390</v>
      </c>
      <c r="C133">
        <v>702</v>
      </c>
      <c r="D133">
        <v>198</v>
      </c>
      <c r="E133">
        <v>9</v>
      </c>
      <c r="F133">
        <v>27</v>
      </c>
      <c r="G133">
        <v>20</v>
      </c>
      <c r="H133" t="s">
        <v>184</v>
      </c>
      <c r="R133" t="s">
        <v>388</v>
      </c>
    </row>
    <row r="134" spans="1:18">
      <c r="A134" t="s">
        <v>403</v>
      </c>
      <c r="B134" t="s">
        <v>390</v>
      </c>
      <c r="C134">
        <v>828</v>
      </c>
      <c r="D134">
        <v>198</v>
      </c>
      <c r="E134">
        <v>9</v>
      </c>
      <c r="F134">
        <v>27</v>
      </c>
      <c r="G134">
        <v>20</v>
      </c>
      <c r="H134" t="s">
        <v>184</v>
      </c>
      <c r="R134" t="s">
        <v>388</v>
      </c>
    </row>
    <row r="135" spans="1:18">
      <c r="A135" t="s">
        <v>404</v>
      </c>
      <c r="B135" t="s">
        <v>390</v>
      </c>
      <c r="C135">
        <v>954</v>
      </c>
      <c r="D135">
        <v>198</v>
      </c>
      <c r="E135">
        <v>9</v>
      </c>
      <c r="F135">
        <v>27</v>
      </c>
      <c r="G135">
        <v>20</v>
      </c>
      <c r="H135" t="s">
        <v>184</v>
      </c>
      <c r="R135" t="s">
        <v>388</v>
      </c>
    </row>
    <row r="136" spans="1:18">
      <c r="A136" t="s">
        <v>405</v>
      </c>
      <c r="B136" t="s">
        <v>390</v>
      </c>
      <c r="C136">
        <v>1080</v>
      </c>
      <c r="D136">
        <v>198</v>
      </c>
      <c r="E136">
        <v>18</v>
      </c>
      <c r="F136">
        <v>27</v>
      </c>
      <c r="G136">
        <v>20</v>
      </c>
      <c r="H136" t="s">
        <v>184</v>
      </c>
      <c r="R136" t="s">
        <v>388</v>
      </c>
    </row>
    <row r="137" spans="1:18">
      <c r="A137" t="s">
        <v>406</v>
      </c>
      <c r="B137" t="s">
        <v>390</v>
      </c>
      <c r="C137">
        <v>567</v>
      </c>
      <c r="D137">
        <v>107</v>
      </c>
      <c r="E137">
        <v>18</v>
      </c>
      <c r="F137">
        <v>2</v>
      </c>
      <c r="G137">
        <v>20</v>
      </c>
      <c r="H137" t="s">
        <v>184</v>
      </c>
      <c r="R137" t="s">
        <v>388</v>
      </c>
    </row>
    <row r="138" spans="1:18">
      <c r="A138" t="s">
        <v>407</v>
      </c>
      <c r="B138" t="s">
        <v>390</v>
      </c>
      <c r="C138">
        <v>702</v>
      </c>
      <c r="D138">
        <v>107</v>
      </c>
      <c r="E138">
        <v>9</v>
      </c>
      <c r="F138">
        <v>2</v>
      </c>
      <c r="G138">
        <v>20</v>
      </c>
      <c r="H138" t="s">
        <v>184</v>
      </c>
      <c r="R138" t="s">
        <v>388</v>
      </c>
    </row>
    <row r="139" spans="1:18">
      <c r="A139" t="s">
        <v>408</v>
      </c>
      <c r="B139" t="s">
        <v>390</v>
      </c>
      <c r="C139">
        <v>828</v>
      </c>
      <c r="D139">
        <v>107</v>
      </c>
      <c r="E139">
        <v>9</v>
      </c>
      <c r="F139">
        <v>2</v>
      </c>
      <c r="G139">
        <v>20</v>
      </c>
      <c r="H139" t="s">
        <v>184</v>
      </c>
      <c r="R139" t="s">
        <v>388</v>
      </c>
    </row>
    <row r="140" spans="1:18">
      <c r="A140" t="s">
        <v>409</v>
      </c>
      <c r="B140" t="s">
        <v>390</v>
      </c>
      <c r="C140">
        <v>954</v>
      </c>
      <c r="D140">
        <v>107</v>
      </c>
      <c r="E140">
        <v>9</v>
      </c>
      <c r="F140">
        <v>2</v>
      </c>
      <c r="G140">
        <v>20</v>
      </c>
      <c r="H140" t="s">
        <v>184</v>
      </c>
      <c r="R140" t="s">
        <v>388</v>
      </c>
    </row>
    <row r="141" spans="1:18">
      <c r="A141" t="s">
        <v>410</v>
      </c>
      <c r="B141" t="s">
        <v>390</v>
      </c>
      <c r="C141">
        <v>1080</v>
      </c>
      <c r="D141">
        <v>107</v>
      </c>
      <c r="E141">
        <v>18</v>
      </c>
      <c r="F141">
        <v>2</v>
      </c>
      <c r="G141">
        <v>20</v>
      </c>
      <c r="H141" t="s">
        <v>184</v>
      </c>
      <c r="R141" t="s">
        <v>388</v>
      </c>
    </row>
    <row r="142" spans="1:18">
      <c r="A142" t="s">
        <v>411</v>
      </c>
      <c r="B142" t="s">
        <v>390</v>
      </c>
      <c r="C142">
        <v>567</v>
      </c>
      <c r="D142">
        <v>134</v>
      </c>
      <c r="E142">
        <v>18</v>
      </c>
      <c r="F142">
        <v>2</v>
      </c>
      <c r="G142">
        <v>20</v>
      </c>
      <c r="H142" t="s">
        <v>184</v>
      </c>
      <c r="R142" t="s">
        <v>388</v>
      </c>
    </row>
    <row r="143" spans="1:18">
      <c r="A143" t="s">
        <v>412</v>
      </c>
      <c r="B143" t="s">
        <v>390</v>
      </c>
      <c r="C143">
        <v>702</v>
      </c>
      <c r="D143">
        <v>134</v>
      </c>
      <c r="E143">
        <v>9</v>
      </c>
      <c r="F143">
        <v>2</v>
      </c>
      <c r="G143">
        <v>20</v>
      </c>
      <c r="H143" t="s">
        <v>184</v>
      </c>
      <c r="R143" t="s">
        <v>388</v>
      </c>
    </row>
    <row r="144" spans="1:18">
      <c r="A144" t="s">
        <v>413</v>
      </c>
      <c r="B144" t="s">
        <v>390</v>
      </c>
      <c r="C144">
        <v>828</v>
      </c>
      <c r="D144">
        <v>134</v>
      </c>
      <c r="E144">
        <v>9</v>
      </c>
      <c r="F144">
        <v>2</v>
      </c>
      <c r="G144">
        <v>20</v>
      </c>
      <c r="H144" t="s">
        <v>184</v>
      </c>
      <c r="R144" t="s">
        <v>388</v>
      </c>
    </row>
    <row r="145" spans="1:18">
      <c r="A145" t="s">
        <v>414</v>
      </c>
      <c r="B145" t="s">
        <v>390</v>
      </c>
      <c r="C145">
        <v>954</v>
      </c>
      <c r="D145">
        <v>134</v>
      </c>
      <c r="E145">
        <v>9</v>
      </c>
      <c r="F145">
        <v>2</v>
      </c>
      <c r="G145">
        <v>20</v>
      </c>
      <c r="H145" t="s">
        <v>184</v>
      </c>
      <c r="R145" t="s">
        <v>388</v>
      </c>
    </row>
    <row r="146" spans="1:18">
      <c r="A146" t="s">
        <v>415</v>
      </c>
      <c r="B146" t="s">
        <v>390</v>
      </c>
      <c r="C146">
        <v>1080</v>
      </c>
      <c r="D146">
        <v>134</v>
      </c>
      <c r="E146">
        <v>18</v>
      </c>
      <c r="F146">
        <v>2</v>
      </c>
      <c r="G146">
        <v>20</v>
      </c>
      <c r="H146" t="s">
        <v>184</v>
      </c>
      <c r="R146" t="s">
        <v>388</v>
      </c>
    </row>
    <row r="147" spans="1:18">
      <c r="A147" t="s">
        <v>416</v>
      </c>
      <c r="B147" t="s">
        <v>390</v>
      </c>
      <c r="C147">
        <v>567</v>
      </c>
      <c r="D147">
        <v>152</v>
      </c>
      <c r="E147">
        <v>18</v>
      </c>
      <c r="F147">
        <v>2</v>
      </c>
      <c r="G147">
        <v>20</v>
      </c>
      <c r="H147" t="s">
        <v>184</v>
      </c>
      <c r="R147" t="s">
        <v>388</v>
      </c>
    </row>
    <row r="148" spans="1:18">
      <c r="A148" t="s">
        <v>417</v>
      </c>
      <c r="B148" t="s">
        <v>390</v>
      </c>
      <c r="C148">
        <v>828</v>
      </c>
      <c r="D148">
        <v>152</v>
      </c>
      <c r="E148">
        <v>9</v>
      </c>
      <c r="F148">
        <v>2</v>
      </c>
      <c r="G148">
        <v>20</v>
      </c>
      <c r="H148" t="s">
        <v>184</v>
      </c>
      <c r="R148" t="s">
        <v>388</v>
      </c>
    </row>
    <row r="149" spans="1:18">
      <c r="A149" t="s">
        <v>418</v>
      </c>
      <c r="B149" t="s">
        <v>390</v>
      </c>
      <c r="C149">
        <v>954</v>
      </c>
      <c r="D149">
        <v>152</v>
      </c>
      <c r="E149">
        <v>9</v>
      </c>
      <c r="F149">
        <v>2</v>
      </c>
      <c r="G149">
        <v>20</v>
      </c>
      <c r="H149" t="s">
        <v>184</v>
      </c>
      <c r="R149" t="s">
        <v>388</v>
      </c>
    </row>
    <row r="150" spans="1:18">
      <c r="A150" t="s">
        <v>419</v>
      </c>
      <c r="B150" t="s">
        <v>390</v>
      </c>
      <c r="C150">
        <v>1080</v>
      </c>
      <c r="D150">
        <v>152</v>
      </c>
      <c r="E150">
        <v>18</v>
      </c>
      <c r="F150">
        <v>2</v>
      </c>
      <c r="G150">
        <v>20</v>
      </c>
      <c r="H150" t="s">
        <v>184</v>
      </c>
      <c r="R150" t="s">
        <v>388</v>
      </c>
    </row>
    <row r="151" spans="1:18">
      <c r="A151" t="s">
        <v>420</v>
      </c>
      <c r="B151" t="s">
        <v>390</v>
      </c>
      <c r="C151">
        <v>567</v>
      </c>
      <c r="D151">
        <v>179</v>
      </c>
      <c r="E151">
        <v>18</v>
      </c>
      <c r="F151">
        <v>2</v>
      </c>
      <c r="G151">
        <v>20</v>
      </c>
      <c r="H151" t="s">
        <v>184</v>
      </c>
      <c r="R151" t="s">
        <v>388</v>
      </c>
    </row>
    <row r="152" spans="1:18">
      <c r="A152" t="s">
        <v>421</v>
      </c>
      <c r="B152" t="s">
        <v>390</v>
      </c>
      <c r="C152">
        <v>828</v>
      </c>
      <c r="D152">
        <v>179</v>
      </c>
      <c r="E152">
        <v>9</v>
      </c>
      <c r="F152">
        <v>2</v>
      </c>
      <c r="G152">
        <v>20</v>
      </c>
      <c r="H152" t="s">
        <v>184</v>
      </c>
      <c r="R152" t="s">
        <v>388</v>
      </c>
    </row>
    <row r="153" spans="1:18">
      <c r="A153" t="s">
        <v>422</v>
      </c>
      <c r="B153" t="s">
        <v>390</v>
      </c>
      <c r="C153">
        <v>954</v>
      </c>
      <c r="D153">
        <v>179</v>
      </c>
      <c r="E153">
        <v>9</v>
      </c>
      <c r="F153">
        <v>2</v>
      </c>
      <c r="G153">
        <v>20</v>
      </c>
      <c r="H153" t="s">
        <v>184</v>
      </c>
      <c r="R153" t="s">
        <v>388</v>
      </c>
    </row>
    <row r="154" spans="1:18">
      <c r="A154" t="s">
        <v>423</v>
      </c>
      <c r="B154" t="s">
        <v>390</v>
      </c>
      <c r="C154">
        <v>1080</v>
      </c>
      <c r="D154">
        <v>179</v>
      </c>
      <c r="E154">
        <v>18</v>
      </c>
      <c r="F154">
        <v>2</v>
      </c>
      <c r="G154">
        <v>20</v>
      </c>
      <c r="H154" t="s">
        <v>184</v>
      </c>
      <c r="R154" t="s">
        <v>388</v>
      </c>
    </row>
    <row r="155" spans="1:18">
      <c r="A155" t="s">
        <v>424</v>
      </c>
      <c r="B155" t="s">
        <v>390</v>
      </c>
      <c r="C155">
        <v>567</v>
      </c>
      <c r="D155">
        <v>197</v>
      </c>
      <c r="E155">
        <v>18</v>
      </c>
      <c r="F155">
        <v>2</v>
      </c>
      <c r="G155">
        <v>20</v>
      </c>
      <c r="H155" t="s">
        <v>184</v>
      </c>
      <c r="R155" t="s">
        <v>388</v>
      </c>
    </row>
    <row r="156" spans="1:18">
      <c r="A156" t="s">
        <v>425</v>
      </c>
      <c r="B156" t="s">
        <v>390</v>
      </c>
      <c r="C156">
        <v>702</v>
      </c>
      <c r="D156">
        <v>197</v>
      </c>
      <c r="E156">
        <v>9</v>
      </c>
      <c r="F156">
        <v>2</v>
      </c>
      <c r="G156">
        <v>20</v>
      </c>
      <c r="H156" t="s">
        <v>184</v>
      </c>
      <c r="R156" t="s">
        <v>388</v>
      </c>
    </row>
    <row r="157" spans="1:18">
      <c r="A157" t="s">
        <v>426</v>
      </c>
      <c r="B157" t="s">
        <v>390</v>
      </c>
      <c r="C157">
        <v>828</v>
      </c>
      <c r="D157">
        <v>197</v>
      </c>
      <c r="E157">
        <v>9</v>
      </c>
      <c r="F157">
        <v>2</v>
      </c>
      <c r="G157">
        <v>20</v>
      </c>
      <c r="H157" t="s">
        <v>184</v>
      </c>
      <c r="R157" t="s">
        <v>388</v>
      </c>
    </row>
    <row r="158" spans="1:18">
      <c r="A158" t="s">
        <v>427</v>
      </c>
      <c r="B158" t="s">
        <v>390</v>
      </c>
      <c r="C158">
        <v>954</v>
      </c>
      <c r="D158">
        <v>197</v>
      </c>
      <c r="E158">
        <v>9</v>
      </c>
      <c r="F158">
        <v>2</v>
      </c>
      <c r="G158">
        <v>20</v>
      </c>
      <c r="H158" t="s">
        <v>184</v>
      </c>
      <c r="R158" t="s">
        <v>388</v>
      </c>
    </row>
    <row r="159" spans="1:18">
      <c r="A159" t="s">
        <v>428</v>
      </c>
      <c r="B159" t="s">
        <v>390</v>
      </c>
      <c r="C159">
        <v>1080</v>
      </c>
      <c r="D159">
        <v>197</v>
      </c>
      <c r="E159">
        <v>18</v>
      </c>
      <c r="F159">
        <v>2</v>
      </c>
      <c r="G159">
        <v>20</v>
      </c>
      <c r="H159" t="s">
        <v>184</v>
      </c>
      <c r="R159" t="s">
        <v>388</v>
      </c>
    </row>
    <row r="160" spans="1:18">
      <c r="A160" t="s">
        <v>429</v>
      </c>
      <c r="B160" t="s">
        <v>390</v>
      </c>
      <c r="C160">
        <v>567</v>
      </c>
      <c r="D160">
        <v>224</v>
      </c>
      <c r="E160">
        <v>18</v>
      </c>
      <c r="F160">
        <v>2</v>
      </c>
      <c r="G160">
        <v>20</v>
      </c>
      <c r="H160" t="s">
        <v>184</v>
      </c>
      <c r="R160" t="s">
        <v>388</v>
      </c>
    </row>
    <row r="161" spans="1:24">
      <c r="A161" t="s">
        <v>430</v>
      </c>
      <c r="B161" t="s">
        <v>390</v>
      </c>
      <c r="C161">
        <v>702</v>
      </c>
      <c r="D161">
        <v>224</v>
      </c>
      <c r="E161">
        <v>9</v>
      </c>
      <c r="F161">
        <v>2</v>
      </c>
      <c r="G161">
        <v>20</v>
      </c>
      <c r="H161" t="s">
        <v>184</v>
      </c>
      <c r="R161" t="s">
        <v>388</v>
      </c>
    </row>
    <row r="162" spans="1:24">
      <c r="A162" t="s">
        <v>431</v>
      </c>
      <c r="B162" t="s">
        <v>390</v>
      </c>
      <c r="C162">
        <v>828</v>
      </c>
      <c r="D162">
        <v>224</v>
      </c>
      <c r="E162">
        <v>9</v>
      </c>
      <c r="F162">
        <v>2</v>
      </c>
      <c r="G162">
        <v>20</v>
      </c>
      <c r="H162" t="s">
        <v>184</v>
      </c>
      <c r="R162" t="s">
        <v>388</v>
      </c>
    </row>
    <row r="163" spans="1:24">
      <c r="A163" t="s">
        <v>432</v>
      </c>
      <c r="B163" t="s">
        <v>390</v>
      </c>
      <c r="C163">
        <v>954</v>
      </c>
      <c r="D163">
        <v>224</v>
      </c>
      <c r="E163">
        <v>9</v>
      </c>
      <c r="F163">
        <v>2</v>
      </c>
      <c r="G163">
        <v>20</v>
      </c>
      <c r="H163" t="s">
        <v>184</v>
      </c>
      <c r="R163" t="s">
        <v>388</v>
      </c>
    </row>
    <row r="164" spans="1:24">
      <c r="A164" t="s">
        <v>433</v>
      </c>
      <c r="B164" t="s">
        <v>390</v>
      </c>
      <c r="C164">
        <v>1080</v>
      </c>
      <c r="D164">
        <v>224</v>
      </c>
      <c r="E164">
        <v>18</v>
      </c>
      <c r="F164">
        <v>2</v>
      </c>
      <c r="G164">
        <v>20</v>
      </c>
      <c r="H164" t="s">
        <v>184</v>
      </c>
      <c r="R164" t="s">
        <v>388</v>
      </c>
    </row>
    <row r="165" spans="1:24">
      <c r="A165" t="s">
        <v>434</v>
      </c>
      <c r="B165" t="s">
        <v>109</v>
      </c>
      <c r="C165">
        <v>585</v>
      </c>
      <c r="D165">
        <v>75</v>
      </c>
      <c r="E165">
        <v>200</v>
      </c>
      <c r="F165">
        <v>16</v>
      </c>
      <c r="H165" t="s">
        <v>184</v>
      </c>
      <c r="I165">
        <v>10</v>
      </c>
      <c r="J165">
        <v>1</v>
      </c>
      <c r="K165" t="s">
        <v>185</v>
      </c>
      <c r="L165" t="s">
        <v>191</v>
      </c>
      <c r="M165" t="s">
        <v>192</v>
      </c>
      <c r="O165">
        <v>1</v>
      </c>
      <c r="P165" t="s">
        <v>435</v>
      </c>
      <c r="R165" t="s">
        <v>194</v>
      </c>
    </row>
    <row r="166" spans="1:24">
      <c r="A166" t="s">
        <v>436</v>
      </c>
      <c r="B166" t="s">
        <v>109</v>
      </c>
      <c r="C166">
        <v>587</v>
      </c>
      <c r="D166">
        <v>92</v>
      </c>
      <c r="E166">
        <v>117</v>
      </c>
      <c r="F166">
        <v>14</v>
      </c>
      <c r="H166" t="s">
        <v>184</v>
      </c>
      <c r="I166">
        <v>9.5</v>
      </c>
      <c r="J166">
        <v>1</v>
      </c>
      <c r="K166" t="s">
        <v>185</v>
      </c>
      <c r="L166" t="s">
        <v>191</v>
      </c>
      <c r="M166" t="s">
        <v>192</v>
      </c>
      <c r="P166" t="s">
        <v>437</v>
      </c>
      <c r="R166" t="s">
        <v>438</v>
      </c>
    </row>
    <row r="167" spans="1:24">
      <c r="A167" t="s">
        <v>439</v>
      </c>
      <c r="B167" t="s">
        <v>183</v>
      </c>
      <c r="C167">
        <v>585</v>
      </c>
      <c r="D167">
        <v>108</v>
      </c>
      <c r="E167">
        <v>117</v>
      </c>
      <c r="F167">
        <v>27</v>
      </c>
      <c r="G167">
        <v>10</v>
      </c>
      <c r="H167" t="s">
        <v>184</v>
      </c>
      <c r="I167">
        <v>12</v>
      </c>
      <c r="M167" t="s">
        <v>440</v>
      </c>
      <c r="R167" t="s">
        <v>441</v>
      </c>
      <c r="S167" t="s">
        <v>442</v>
      </c>
      <c r="V167">
        <f>IF(v_ant="","POI anticipation",v_ant&amp;"")</f>
        <v>0</v>
      </c>
      <c r="W167">
        <f>IF(v_ant="","champ_vide","champ")</f>
        <v>0</v>
      </c>
      <c r="X167">
        <f>TRUE</f>
        <v>0</v>
      </c>
    </row>
    <row r="168" spans="1:24">
      <c r="A168" t="s">
        <v>443</v>
      </c>
      <c r="B168" t="s">
        <v>109</v>
      </c>
      <c r="C168">
        <v>713</v>
      </c>
      <c r="D168">
        <v>92</v>
      </c>
      <c r="E168">
        <v>117</v>
      </c>
      <c r="F168">
        <v>14</v>
      </c>
      <c r="H168" t="s">
        <v>184</v>
      </c>
      <c r="I168">
        <v>9.5</v>
      </c>
      <c r="J168">
        <v>1</v>
      </c>
      <c r="K168" t="s">
        <v>185</v>
      </c>
      <c r="L168" t="s">
        <v>191</v>
      </c>
      <c r="M168" t="s">
        <v>192</v>
      </c>
      <c r="P168" t="s">
        <v>444</v>
      </c>
      <c r="R168" t="s">
        <v>438</v>
      </c>
    </row>
    <row r="169" spans="1:24">
      <c r="A169" t="s">
        <v>445</v>
      </c>
      <c r="B169" t="s">
        <v>183</v>
      </c>
      <c r="C169">
        <v>711</v>
      </c>
      <c r="D169">
        <v>108</v>
      </c>
      <c r="E169">
        <v>117</v>
      </c>
      <c r="F169">
        <v>27</v>
      </c>
      <c r="G169">
        <v>10</v>
      </c>
      <c r="H169" t="s">
        <v>184</v>
      </c>
      <c r="I169">
        <v>12</v>
      </c>
      <c r="M169" t="s">
        <v>440</v>
      </c>
      <c r="R169" t="s">
        <v>441</v>
      </c>
      <c r="S169" t="s">
        <v>446</v>
      </c>
      <c r="V169">
        <f>IF(v_racco="","POI Racco D2",v_racco&amp;"")</f>
        <v>0</v>
      </c>
      <c r="W169">
        <f>IF(v_racco="","champ_vide","champ")</f>
        <v>0</v>
      </c>
      <c r="X169">
        <f>TRUE</f>
        <v>0</v>
      </c>
    </row>
    <row r="170" spans="1:24">
      <c r="A170" t="s">
        <v>447</v>
      </c>
      <c r="B170" t="s">
        <v>109</v>
      </c>
      <c r="C170">
        <v>839</v>
      </c>
      <c r="D170">
        <v>92</v>
      </c>
      <c r="E170">
        <v>117</v>
      </c>
      <c r="F170">
        <v>14</v>
      </c>
      <c r="H170" t="s">
        <v>184</v>
      </c>
      <c r="I170">
        <v>9.5</v>
      </c>
      <c r="J170">
        <v>1</v>
      </c>
      <c r="K170" t="s">
        <v>185</v>
      </c>
      <c r="L170" t="s">
        <v>191</v>
      </c>
      <c r="M170" t="s">
        <v>192</v>
      </c>
      <c r="P170" t="s">
        <v>448</v>
      </c>
      <c r="R170" t="s">
        <v>438</v>
      </c>
    </row>
    <row r="171" spans="1:24">
      <c r="A171" t="s">
        <v>449</v>
      </c>
      <c r="B171" t="s">
        <v>183</v>
      </c>
      <c r="C171">
        <v>837</v>
      </c>
      <c r="D171">
        <v>108</v>
      </c>
      <c r="E171">
        <v>117</v>
      </c>
      <c r="F171">
        <v>27</v>
      </c>
      <c r="G171">
        <v>10</v>
      </c>
      <c r="H171" t="s">
        <v>184</v>
      </c>
      <c r="I171">
        <v>12</v>
      </c>
      <c r="M171" t="s">
        <v>440</v>
      </c>
      <c r="R171" t="s">
        <v>441</v>
      </c>
      <c r="S171" t="s">
        <v>450</v>
      </c>
      <c r="V171">
        <f>IF(v_el="","0",v_el&amp;"")</f>
        <v>0</v>
      </c>
      <c r="W171">
        <f>IF(v_el="","champ_vide","champ")</f>
        <v>0</v>
      </c>
      <c r="X171">
        <f>TRUE</f>
        <v>0</v>
      </c>
    </row>
    <row r="172" spans="1:24">
      <c r="A172" t="s">
        <v>451</v>
      </c>
      <c r="B172" t="s">
        <v>109</v>
      </c>
      <c r="C172">
        <v>965</v>
      </c>
      <c r="D172">
        <v>92</v>
      </c>
      <c r="E172">
        <v>117</v>
      </c>
      <c r="F172">
        <v>14</v>
      </c>
      <c r="H172" t="s">
        <v>184</v>
      </c>
      <c r="I172">
        <v>9.5</v>
      </c>
      <c r="J172">
        <v>1</v>
      </c>
      <c r="K172" t="s">
        <v>185</v>
      </c>
      <c r="L172" t="s">
        <v>191</v>
      </c>
      <c r="M172" t="s">
        <v>192</v>
      </c>
      <c r="P172" t="s">
        <v>452</v>
      </c>
      <c r="R172" t="s">
        <v>438</v>
      </c>
    </row>
    <row r="173" spans="1:24">
      <c r="A173" t="s">
        <v>453</v>
      </c>
      <c r="B173" t="s">
        <v>183</v>
      </c>
      <c r="C173">
        <v>963</v>
      </c>
      <c r="D173">
        <v>108</v>
      </c>
      <c r="E173">
        <v>117</v>
      </c>
      <c r="F173">
        <v>27</v>
      </c>
      <c r="G173">
        <v>10</v>
      </c>
      <c r="H173" t="s">
        <v>184</v>
      </c>
      <c r="I173">
        <v>12</v>
      </c>
      <c r="M173" t="s">
        <v>440</v>
      </c>
      <c r="R173" t="s">
        <v>441</v>
      </c>
      <c r="S173" t="s">
        <v>454</v>
      </c>
      <c r="V173">
        <f>IF(v_pc="","N° PC",v_pc&amp;"")</f>
        <v>0</v>
      </c>
      <c r="W173">
        <f>IF(v_pc="","champ_vide","champ")</f>
        <v>0</v>
      </c>
      <c r="X173">
        <f>TRUE</f>
        <v>0</v>
      </c>
    </row>
    <row r="174" spans="1:24">
      <c r="A174" t="s">
        <v>455</v>
      </c>
      <c r="B174" t="s">
        <v>109</v>
      </c>
      <c r="C174">
        <v>587</v>
      </c>
      <c r="D174">
        <v>137</v>
      </c>
      <c r="E174">
        <v>243</v>
      </c>
      <c r="F174">
        <v>14</v>
      </c>
      <c r="H174" t="s">
        <v>184</v>
      </c>
      <c r="I174">
        <v>9.5</v>
      </c>
      <c r="J174">
        <v>1</v>
      </c>
      <c r="K174" t="s">
        <v>185</v>
      </c>
      <c r="L174" t="s">
        <v>191</v>
      </c>
      <c r="M174" t="s">
        <v>192</v>
      </c>
      <c r="P174" t="s">
        <v>456</v>
      </c>
      <c r="R174" t="s">
        <v>438</v>
      </c>
    </row>
    <row r="175" spans="1:24">
      <c r="A175" t="s">
        <v>457</v>
      </c>
      <c r="B175" t="s">
        <v>183</v>
      </c>
      <c r="C175">
        <v>585</v>
      </c>
      <c r="D175">
        <v>153</v>
      </c>
      <c r="E175">
        <v>243</v>
      </c>
      <c r="F175">
        <v>27</v>
      </c>
      <c r="G175">
        <v>10</v>
      </c>
      <c r="H175" t="s">
        <v>184</v>
      </c>
      <c r="I175">
        <v>12</v>
      </c>
      <c r="M175" t="s">
        <v>440</v>
      </c>
      <c r="R175" t="s">
        <v>441</v>
      </c>
      <c r="S175" t="s">
        <v>458</v>
      </c>
      <c r="V175">
        <f>IF(v_adr="","Adresse de l'immeuble",v_adr&amp;"")</f>
        <v>0</v>
      </c>
      <c r="W175">
        <f>IF(v_adr="","champ_vide","champ")</f>
        <v>0</v>
      </c>
      <c r="X175">
        <f>TRUE</f>
        <v>0</v>
      </c>
    </row>
    <row r="176" spans="1:24">
      <c r="A176" t="s">
        <v>459</v>
      </c>
      <c r="B176" t="s">
        <v>109</v>
      </c>
      <c r="C176">
        <v>839</v>
      </c>
      <c r="D176">
        <v>137</v>
      </c>
      <c r="E176">
        <v>117</v>
      </c>
      <c r="F176">
        <v>14</v>
      </c>
      <c r="H176" t="s">
        <v>184</v>
      </c>
      <c r="I176">
        <v>9.5</v>
      </c>
      <c r="J176">
        <v>1</v>
      </c>
      <c r="K176" t="s">
        <v>185</v>
      </c>
      <c r="L176" t="s">
        <v>191</v>
      </c>
      <c r="M176" t="s">
        <v>192</v>
      </c>
      <c r="P176" t="s">
        <v>460</v>
      </c>
      <c r="R176" t="s">
        <v>438</v>
      </c>
    </row>
    <row r="177" spans="1:24">
      <c r="A177" t="s">
        <v>461</v>
      </c>
      <c r="B177" t="s">
        <v>183</v>
      </c>
      <c r="C177">
        <v>837</v>
      </c>
      <c r="D177">
        <v>153</v>
      </c>
      <c r="E177">
        <v>117</v>
      </c>
      <c r="F177">
        <v>27</v>
      </c>
      <c r="G177">
        <v>10</v>
      </c>
      <c r="H177" t="s">
        <v>184</v>
      </c>
      <c r="I177">
        <v>12</v>
      </c>
      <c r="M177" t="s">
        <v>440</v>
      </c>
      <c r="R177" t="s">
        <v>441</v>
      </c>
      <c r="S177" t="s">
        <v>462</v>
      </c>
      <c r="V177">
        <f>IF(v_cab="","Nom du cabinet",v_cab&amp;"")</f>
        <v>0</v>
      </c>
      <c r="W177">
        <f>IF(v_cab="","champ_vide","champ")</f>
        <v>0</v>
      </c>
      <c r="X177">
        <f>TRUE</f>
        <v>0</v>
      </c>
    </row>
    <row r="178" spans="1:24">
      <c r="A178" t="s">
        <v>463</v>
      </c>
      <c r="B178" t="s">
        <v>109</v>
      </c>
      <c r="C178">
        <v>965</v>
      </c>
      <c r="D178">
        <v>137</v>
      </c>
      <c r="E178">
        <v>117</v>
      </c>
      <c r="F178">
        <v>14</v>
      </c>
      <c r="H178" t="s">
        <v>184</v>
      </c>
      <c r="I178">
        <v>9.5</v>
      </c>
      <c r="J178">
        <v>1</v>
      </c>
      <c r="K178" t="s">
        <v>185</v>
      </c>
      <c r="L178" t="s">
        <v>191</v>
      </c>
      <c r="M178" t="s">
        <v>192</v>
      </c>
      <c r="P178" t="s">
        <v>464</v>
      </c>
      <c r="R178" t="s">
        <v>438</v>
      </c>
    </row>
    <row r="179" spans="1:24">
      <c r="A179" t="s">
        <v>465</v>
      </c>
      <c r="B179" t="s">
        <v>183</v>
      </c>
      <c r="C179">
        <v>963</v>
      </c>
      <c r="D179">
        <v>153</v>
      </c>
      <c r="E179">
        <v>117</v>
      </c>
      <c r="F179">
        <v>27</v>
      </c>
      <c r="G179">
        <v>10</v>
      </c>
      <c r="H179" t="s">
        <v>184</v>
      </c>
      <c r="I179">
        <v>12</v>
      </c>
      <c r="M179" t="s">
        <v>440</v>
      </c>
      <c r="R179" t="s">
        <v>441</v>
      </c>
      <c r="S179" t="s">
        <v>466</v>
      </c>
      <c r="V179">
        <f>IF(v_dlpi="","jj/mm/aaaa",IF(ISNUMBER(v_dlpi),RIGHT("0"&amp;DAY(v_dlpi),2)&amp;"/"&amp;RIGHT("0"&amp;MONTH(v_dlpi),2)&amp;"/"&amp;YEAR(v_dlpi),v_dlpi&amp;""))</f>
        <v>0</v>
      </c>
      <c r="W179">
        <f>IF(v_dlpi="","champ_vide","champ")</f>
        <v>0</v>
      </c>
      <c r="X179">
        <f>TRUE</f>
        <v>0</v>
      </c>
    </row>
    <row r="180" spans="1:24">
      <c r="A180" t="s">
        <v>467</v>
      </c>
      <c r="B180" t="s">
        <v>109</v>
      </c>
      <c r="C180">
        <v>587</v>
      </c>
      <c r="D180">
        <v>182</v>
      </c>
      <c r="E180">
        <v>117</v>
      </c>
      <c r="F180">
        <v>14</v>
      </c>
      <c r="H180" t="s">
        <v>184</v>
      </c>
      <c r="I180">
        <v>9.5</v>
      </c>
      <c r="J180">
        <v>1</v>
      </c>
      <c r="K180" t="s">
        <v>185</v>
      </c>
      <c r="L180" t="s">
        <v>191</v>
      </c>
      <c r="M180" t="s">
        <v>192</v>
      </c>
      <c r="P180" t="s">
        <v>468</v>
      </c>
      <c r="R180" t="s">
        <v>438</v>
      </c>
    </row>
    <row r="181" spans="1:24">
      <c r="A181" t="s">
        <v>469</v>
      </c>
      <c r="B181" t="s">
        <v>183</v>
      </c>
      <c r="C181">
        <v>585</v>
      </c>
      <c r="D181">
        <v>198</v>
      </c>
      <c r="E181">
        <v>117</v>
      </c>
      <c r="F181">
        <v>27</v>
      </c>
      <c r="G181">
        <v>10</v>
      </c>
      <c r="H181" t="s">
        <v>211</v>
      </c>
      <c r="I181">
        <v>11</v>
      </c>
      <c r="M181" t="s">
        <v>440</v>
      </c>
      <c r="R181" t="s">
        <v>441</v>
      </c>
      <c r="S181" t="s">
        <v>470</v>
      </c>
      <c r="V181">
        <f>IF(v_imb1="","IMB/…",v_imb1&amp;"")</f>
        <v>0</v>
      </c>
      <c r="W181">
        <f>IF(v_imb1="","champ_vide","champ")</f>
        <v>0</v>
      </c>
      <c r="X181">
        <f>TRUE</f>
        <v>0</v>
      </c>
    </row>
    <row r="182" spans="1:24">
      <c r="A182" t="s">
        <v>471</v>
      </c>
      <c r="B182" t="s">
        <v>183</v>
      </c>
      <c r="C182">
        <v>711</v>
      </c>
      <c r="D182">
        <v>198</v>
      </c>
      <c r="E182">
        <v>117</v>
      </c>
      <c r="F182">
        <v>27</v>
      </c>
      <c r="G182">
        <v>10</v>
      </c>
      <c r="H182" t="s">
        <v>211</v>
      </c>
      <c r="I182">
        <v>11</v>
      </c>
      <c r="M182" t="s">
        <v>440</v>
      </c>
      <c r="R182" t="s">
        <v>441</v>
      </c>
      <c r="S182" t="s">
        <v>472</v>
      </c>
      <c r="V182">
        <f>IF(v_imb2="","IMB/…",v_imb2&amp;"")</f>
        <v>0</v>
      </c>
      <c r="W182">
        <f>IF(v_imb2="","champ_vide","champ")</f>
        <v>0</v>
      </c>
      <c r="X182">
        <f>TRUE</f>
        <v>0</v>
      </c>
    </row>
    <row r="183" spans="1:24">
      <c r="A183" t="s">
        <v>473</v>
      </c>
      <c r="B183" t="s">
        <v>183</v>
      </c>
      <c r="C183">
        <v>837</v>
      </c>
      <c r="D183">
        <v>198</v>
      </c>
      <c r="E183">
        <v>117</v>
      </c>
      <c r="F183">
        <v>27</v>
      </c>
      <c r="G183">
        <v>10</v>
      </c>
      <c r="H183" t="s">
        <v>211</v>
      </c>
      <c r="I183">
        <v>11</v>
      </c>
      <c r="M183" t="s">
        <v>440</v>
      </c>
      <c r="R183" t="s">
        <v>441</v>
      </c>
      <c r="S183" t="s">
        <v>474</v>
      </c>
      <c r="V183">
        <f>IF(v_imb3="","IMB/…",v_imb3&amp;"")</f>
        <v>0</v>
      </c>
      <c r="W183">
        <f>IF(v_imb3="","champ_vide","champ")</f>
        <v>0</v>
      </c>
      <c r="X183">
        <f>TRUE</f>
        <v>0</v>
      </c>
    </row>
    <row r="184" spans="1:24">
      <c r="A184" t="s">
        <v>475</v>
      </c>
      <c r="B184" t="s">
        <v>183</v>
      </c>
      <c r="C184">
        <v>963</v>
      </c>
      <c r="D184">
        <v>198</v>
      </c>
      <c r="E184">
        <v>117</v>
      </c>
      <c r="F184">
        <v>27</v>
      </c>
      <c r="G184">
        <v>10</v>
      </c>
      <c r="H184" t="s">
        <v>211</v>
      </c>
      <c r="I184">
        <v>11</v>
      </c>
      <c r="M184" t="s">
        <v>440</v>
      </c>
      <c r="R184" t="s">
        <v>441</v>
      </c>
      <c r="S184" t="s">
        <v>476</v>
      </c>
      <c r="V184">
        <f>IF(v_imb4="","IMB/…",v_imb4&amp;"")</f>
        <v>0</v>
      </c>
      <c r="W184">
        <f>IF(v_imb4="","champ_vide","champ")</f>
        <v>0</v>
      </c>
      <c r="X184">
        <f>TRUE</f>
        <v>0</v>
      </c>
    </row>
    <row r="185" spans="1:24">
      <c r="A185" t="s">
        <v>477</v>
      </c>
      <c r="B185" t="s">
        <v>183</v>
      </c>
      <c r="C185">
        <v>567</v>
      </c>
      <c r="D185">
        <v>257</v>
      </c>
      <c r="E185">
        <v>531</v>
      </c>
      <c r="F185">
        <v>342</v>
      </c>
      <c r="G185">
        <v>22</v>
      </c>
      <c r="H185" t="s">
        <v>184</v>
      </c>
      <c r="R185" t="s">
        <v>189</v>
      </c>
      <c r="W185">
        <f>IF(vue="Info","carte_corail","carte")</f>
        <v>0</v>
      </c>
    </row>
    <row r="186" spans="1:24">
      <c r="A186" t="s">
        <v>478</v>
      </c>
      <c r="B186" t="s">
        <v>109</v>
      </c>
      <c r="C186">
        <v>585</v>
      </c>
      <c r="D186">
        <v>272</v>
      </c>
      <c r="E186">
        <v>140</v>
      </c>
      <c r="F186">
        <v>16</v>
      </c>
      <c r="H186" t="s">
        <v>184</v>
      </c>
      <c r="I186">
        <v>10</v>
      </c>
      <c r="J186">
        <v>1</v>
      </c>
      <c r="K186" t="s">
        <v>185</v>
      </c>
      <c r="L186" t="s">
        <v>191</v>
      </c>
      <c r="M186" t="s">
        <v>192</v>
      </c>
      <c r="O186">
        <v>1</v>
      </c>
      <c r="P186" t="s">
        <v>479</v>
      </c>
      <c r="R186" t="s">
        <v>194</v>
      </c>
      <c r="V186">
        <f>IF(vue="Info","INFO","SITUATION")</f>
        <v>0</v>
      </c>
      <c r="W186">
        <f>IF(vue="Info","titre_info","titre")</f>
        <v>0</v>
      </c>
    </row>
    <row r="187" spans="1:24">
      <c r="A187" t="s">
        <v>480</v>
      </c>
      <c r="B187" t="s">
        <v>183</v>
      </c>
      <c r="C187">
        <v>1006</v>
      </c>
      <c r="D187">
        <v>268</v>
      </c>
      <c r="E187">
        <v>74</v>
      </c>
      <c r="F187">
        <v>24</v>
      </c>
      <c r="G187">
        <v>12</v>
      </c>
      <c r="H187" t="s">
        <v>184</v>
      </c>
      <c r="I187">
        <v>10.5</v>
      </c>
      <c r="J187">
        <v>1</v>
      </c>
      <c r="K187" t="s">
        <v>196</v>
      </c>
      <c r="P187" t="s">
        <v>481</v>
      </c>
      <c r="R187" t="s">
        <v>482</v>
      </c>
      <c r="S187" t="s">
        <v>117</v>
      </c>
      <c r="V187">
        <f>IF(vue="Info","Situation","Info")</f>
        <v>0</v>
      </c>
    </row>
    <row r="188" spans="1:24">
      <c r="A188" t="s">
        <v>483</v>
      </c>
      <c r="B188" t="s">
        <v>183</v>
      </c>
      <c r="C188">
        <v>845</v>
      </c>
      <c r="D188">
        <v>271</v>
      </c>
      <c r="E188">
        <v>100</v>
      </c>
      <c r="F188">
        <v>18</v>
      </c>
      <c r="G188">
        <v>9</v>
      </c>
      <c r="H188" t="s">
        <v>184</v>
      </c>
      <c r="I188">
        <v>9</v>
      </c>
      <c r="J188">
        <v>1</v>
      </c>
      <c r="K188" t="s">
        <v>196</v>
      </c>
      <c r="M188" t="s">
        <v>197</v>
      </c>
      <c r="O188">
        <v>0.5</v>
      </c>
      <c r="R188" t="s">
        <v>484</v>
      </c>
      <c r="T188">
        <v>996</v>
      </c>
      <c r="U188">
        <v>1</v>
      </c>
      <c r="V188">
        <f>IF(Calcul!$B$51=0,"DOSSIER TERMINÉ","ÉTAPE "&amp;Calcul!$B$51&amp;" EN COURS")</f>
        <v>0</v>
      </c>
      <c r="W188">
        <f>IF(Calcul!$B$51=0,"tag_ok","tag_run")</f>
        <v>0</v>
      </c>
      <c r="X188">
        <f>vue="Situation"</f>
        <v>0</v>
      </c>
    </row>
    <row r="189" spans="1:24">
      <c r="A189" t="s">
        <v>485</v>
      </c>
      <c r="B189" t="s">
        <v>183</v>
      </c>
      <c r="C189">
        <v>585</v>
      </c>
      <c r="D189">
        <v>301</v>
      </c>
      <c r="E189">
        <v>65.57142857142857</v>
      </c>
      <c r="F189">
        <v>46</v>
      </c>
      <c r="G189">
        <v>12</v>
      </c>
      <c r="H189" t="s">
        <v>184</v>
      </c>
      <c r="J189">
        <v>1</v>
      </c>
      <c r="K189" t="s">
        <v>196</v>
      </c>
      <c r="M189" t="s">
        <v>486</v>
      </c>
      <c r="P189" t="s">
        <v>487</v>
      </c>
      <c r="Q189" t="s">
        <v>488</v>
      </c>
      <c r="R189" t="s">
        <v>489</v>
      </c>
      <c r="S189" t="s">
        <v>215</v>
      </c>
      <c r="W189">
        <f>"frise_"&amp;IF(Calcul!$L$43="ko","ko",IF(Calcul!$K$43,"ok",IF(Calcul!$B$51=1,"run","none")))&amp;IF(Calcul!$B$52=1,"_sel","")</f>
        <v>0</v>
      </c>
      <c r="X189">
        <f>vue="Situation"</f>
        <v>0</v>
      </c>
    </row>
    <row r="190" spans="1:24">
      <c r="A190" t="s">
        <v>490</v>
      </c>
      <c r="B190" t="s">
        <v>183</v>
      </c>
      <c r="C190">
        <v>656.5714285714286</v>
      </c>
      <c r="D190">
        <v>301</v>
      </c>
      <c r="E190">
        <v>65.57142857142857</v>
      </c>
      <c r="F190">
        <v>46</v>
      </c>
      <c r="G190">
        <v>12</v>
      </c>
      <c r="H190" t="s">
        <v>184</v>
      </c>
      <c r="J190">
        <v>1</v>
      </c>
      <c r="K190" t="s">
        <v>196</v>
      </c>
      <c r="M190" t="s">
        <v>486</v>
      </c>
      <c r="P190" t="s">
        <v>491</v>
      </c>
      <c r="Q190" t="s">
        <v>488</v>
      </c>
      <c r="R190" t="s">
        <v>489</v>
      </c>
      <c r="S190" t="s">
        <v>241</v>
      </c>
      <c r="W190">
        <f>"frise_"&amp;IF(Calcul!$L$44="ko","ko",IF(Calcul!$K$44,"ok",IF(Calcul!$B$51=2,"run","none")))&amp;IF(Calcul!$B$52=2,"_sel","")</f>
        <v>0</v>
      </c>
      <c r="X190">
        <f>vue="Situation"</f>
        <v>0</v>
      </c>
    </row>
    <row r="191" spans="1:24">
      <c r="A191" t="s">
        <v>492</v>
      </c>
      <c r="B191" t="s">
        <v>183</v>
      </c>
      <c r="C191">
        <v>728.1428571428571</v>
      </c>
      <c r="D191">
        <v>301</v>
      </c>
      <c r="E191">
        <v>65.57142857142857</v>
      </c>
      <c r="F191">
        <v>46</v>
      </c>
      <c r="G191">
        <v>12</v>
      </c>
      <c r="H191" t="s">
        <v>184</v>
      </c>
      <c r="J191">
        <v>1</v>
      </c>
      <c r="K191" t="s">
        <v>196</v>
      </c>
      <c r="M191" t="s">
        <v>486</v>
      </c>
      <c r="P191" t="s">
        <v>493</v>
      </c>
      <c r="Q191" t="s">
        <v>488</v>
      </c>
      <c r="R191" t="s">
        <v>489</v>
      </c>
      <c r="S191" t="s">
        <v>275</v>
      </c>
      <c r="W191">
        <f>"frise_"&amp;IF(Calcul!$L$45="ko","ko",IF(Calcul!$K$45,"ok",IF(Calcul!$B$51=3,"run","none")))&amp;IF(Calcul!$B$52=3,"_sel","")</f>
        <v>0</v>
      </c>
      <c r="X191">
        <f>vue="Situation"</f>
        <v>0</v>
      </c>
    </row>
    <row r="192" spans="1:24">
      <c r="A192" t="s">
        <v>494</v>
      </c>
      <c r="B192" t="s">
        <v>183</v>
      </c>
      <c r="C192">
        <v>799.7142857142858</v>
      </c>
      <c r="D192">
        <v>301</v>
      </c>
      <c r="E192">
        <v>65.57142857142857</v>
      </c>
      <c r="F192">
        <v>46</v>
      </c>
      <c r="G192">
        <v>12</v>
      </c>
      <c r="H192" t="s">
        <v>184</v>
      </c>
      <c r="J192">
        <v>1</v>
      </c>
      <c r="K192" t="s">
        <v>196</v>
      </c>
      <c r="M192" t="s">
        <v>486</v>
      </c>
      <c r="P192" t="s">
        <v>495</v>
      </c>
      <c r="Q192" t="s">
        <v>488</v>
      </c>
      <c r="R192" t="s">
        <v>489</v>
      </c>
      <c r="S192" t="s">
        <v>298</v>
      </c>
      <c r="W192">
        <f>"frise_"&amp;IF(Calcul!$L$46="ko","ko",IF(Calcul!$K$46,"ok",IF(Calcul!$B$51=4,"run","none")))&amp;IF(Calcul!$B$52=4,"_sel","")</f>
        <v>0</v>
      </c>
      <c r="X192">
        <f>vue="Situation"</f>
        <v>0</v>
      </c>
    </row>
    <row r="193" spans="1:24">
      <c r="A193" t="s">
        <v>496</v>
      </c>
      <c r="B193" t="s">
        <v>183</v>
      </c>
      <c r="C193">
        <v>871.2857142857142</v>
      </c>
      <c r="D193">
        <v>301</v>
      </c>
      <c r="E193">
        <v>65.57142857142857</v>
      </c>
      <c r="F193">
        <v>46</v>
      </c>
      <c r="G193">
        <v>12</v>
      </c>
      <c r="H193" t="s">
        <v>184</v>
      </c>
      <c r="J193">
        <v>1</v>
      </c>
      <c r="K193" t="s">
        <v>196</v>
      </c>
      <c r="M193" t="s">
        <v>486</v>
      </c>
      <c r="P193" t="s">
        <v>497</v>
      </c>
      <c r="Q193" t="s">
        <v>488</v>
      </c>
      <c r="R193" t="s">
        <v>489</v>
      </c>
      <c r="S193" t="s">
        <v>318</v>
      </c>
      <c r="W193">
        <f>"frise_"&amp;IF(Calcul!$L$47="ko","ko",IF(Calcul!$K$47,"ok",IF(Calcul!$B$51=5,"run","none")))&amp;IF(Calcul!$B$52=5,"_sel","")</f>
        <v>0</v>
      </c>
      <c r="X193">
        <f>vue="Situation"</f>
        <v>0</v>
      </c>
    </row>
    <row r="194" spans="1:24">
      <c r="A194" t="s">
        <v>498</v>
      </c>
      <c r="B194" t="s">
        <v>183</v>
      </c>
      <c r="C194">
        <v>942.8571428571429</v>
      </c>
      <c r="D194">
        <v>301</v>
      </c>
      <c r="E194">
        <v>65.57142857142857</v>
      </c>
      <c r="F194">
        <v>46</v>
      </c>
      <c r="G194">
        <v>12</v>
      </c>
      <c r="H194" t="s">
        <v>184</v>
      </c>
      <c r="J194">
        <v>1</v>
      </c>
      <c r="K194" t="s">
        <v>196</v>
      </c>
      <c r="M194" t="s">
        <v>486</v>
      </c>
      <c r="P194" t="s">
        <v>499</v>
      </c>
      <c r="Q194" t="s">
        <v>488</v>
      </c>
      <c r="R194" t="s">
        <v>489</v>
      </c>
      <c r="S194" t="s">
        <v>341</v>
      </c>
      <c r="W194">
        <f>"frise_"&amp;IF(Calcul!$L$48="ko","ko",IF(Calcul!$K$48,"ok",IF(Calcul!$B$51=6,"run","none")))&amp;IF(Calcul!$B$52=6,"_sel","")</f>
        <v>0</v>
      </c>
      <c r="X194">
        <f>vue="Situation"</f>
        <v>0</v>
      </c>
    </row>
    <row r="195" spans="1:24">
      <c r="A195" t="s">
        <v>500</v>
      </c>
      <c r="B195" t="s">
        <v>183</v>
      </c>
      <c r="C195">
        <v>1014.428571428571</v>
      </c>
      <c r="D195">
        <v>301</v>
      </c>
      <c r="E195">
        <v>65.57142857142857</v>
      </c>
      <c r="F195">
        <v>46</v>
      </c>
      <c r="G195">
        <v>12</v>
      </c>
      <c r="H195" t="s">
        <v>184</v>
      </c>
      <c r="J195">
        <v>1</v>
      </c>
      <c r="K195" t="s">
        <v>196</v>
      </c>
      <c r="M195" t="s">
        <v>486</v>
      </c>
      <c r="P195" t="s">
        <v>501</v>
      </c>
      <c r="Q195" t="s">
        <v>488</v>
      </c>
      <c r="R195" t="s">
        <v>489</v>
      </c>
      <c r="S195" t="s">
        <v>371</v>
      </c>
      <c r="W195">
        <f>"frise_"&amp;IF(Calcul!$L$49="ko","ko",IF(Calcul!$K$49,"ok",IF(Calcul!$B$51=7,"run","none")))&amp;IF(Calcul!$B$52=7,"_sel","")</f>
        <v>0</v>
      </c>
      <c r="X195">
        <f>vue="Situation"</f>
        <v>0</v>
      </c>
    </row>
    <row r="196" spans="1:24">
      <c r="A196" t="s">
        <v>502</v>
      </c>
      <c r="B196" t="s">
        <v>109</v>
      </c>
      <c r="C196">
        <v>585</v>
      </c>
      <c r="D196">
        <v>357</v>
      </c>
      <c r="E196">
        <v>360</v>
      </c>
      <c r="F196">
        <v>22</v>
      </c>
      <c r="H196" t="s">
        <v>184</v>
      </c>
      <c r="I196">
        <v>15</v>
      </c>
      <c r="J196">
        <v>1</v>
      </c>
      <c r="K196" t="s">
        <v>185</v>
      </c>
      <c r="L196" t="s">
        <v>191</v>
      </c>
      <c r="M196" t="s">
        <v>192</v>
      </c>
      <c r="R196" t="s">
        <v>503</v>
      </c>
      <c r="V196">
        <f>Calcul!$B$52&amp;" · "&amp;INDEX(Calcul!$C$43:$C$49,Calcul!$B$52)</f>
        <v>0</v>
      </c>
      <c r="X196">
        <f>vue="Situation"</f>
        <v>0</v>
      </c>
    </row>
    <row r="197" spans="1:24">
      <c r="A197" t="s">
        <v>504</v>
      </c>
      <c r="B197" t="s">
        <v>183</v>
      </c>
      <c r="C197">
        <v>965</v>
      </c>
      <c r="D197">
        <v>359</v>
      </c>
      <c r="E197">
        <v>80</v>
      </c>
      <c r="F197">
        <v>18</v>
      </c>
      <c r="G197">
        <v>9</v>
      </c>
      <c r="H197" t="s">
        <v>184</v>
      </c>
      <c r="I197">
        <v>9</v>
      </c>
      <c r="J197">
        <v>1</v>
      </c>
      <c r="K197" t="s">
        <v>196</v>
      </c>
      <c r="M197" t="s">
        <v>197</v>
      </c>
      <c r="R197" t="s">
        <v>198</v>
      </c>
      <c r="T197">
        <v>1080</v>
      </c>
      <c r="U197">
        <v>1</v>
      </c>
      <c r="V197">
        <f>INDEX(Calcul!$M$43:$M$49,Calcul!$B$52)</f>
        <v>0</v>
      </c>
      <c r="W197">
        <f>"tag_"&amp;INDEX(Calcul!$L$43:$L$49,Calcul!$B$52)</f>
        <v>0</v>
      </c>
      <c r="X197">
        <f>vue="Situation"</f>
        <v>0</v>
      </c>
    </row>
    <row r="198" spans="1:24">
      <c r="A198" t="s">
        <v>505</v>
      </c>
      <c r="B198" t="s">
        <v>183</v>
      </c>
      <c r="C198">
        <v>585</v>
      </c>
      <c r="D198">
        <v>387</v>
      </c>
      <c r="E198">
        <v>495</v>
      </c>
      <c r="F198">
        <v>184</v>
      </c>
      <c r="G198">
        <v>16</v>
      </c>
      <c r="H198" t="s">
        <v>184</v>
      </c>
      <c r="R198" t="s">
        <v>506</v>
      </c>
      <c r="X198">
        <f>vue="Situation"</f>
        <v>0</v>
      </c>
    </row>
    <row r="199" spans="1:24">
      <c r="A199" t="s">
        <v>507</v>
      </c>
      <c r="B199" t="s">
        <v>109</v>
      </c>
      <c r="C199">
        <v>597</v>
      </c>
      <c r="D199">
        <v>387</v>
      </c>
      <c r="E199">
        <v>84</v>
      </c>
      <c r="F199">
        <v>26</v>
      </c>
      <c r="H199" t="s">
        <v>184</v>
      </c>
      <c r="I199">
        <v>9.5</v>
      </c>
      <c r="J199">
        <v>1</v>
      </c>
      <c r="K199" t="s">
        <v>185</v>
      </c>
      <c r="L199" t="s">
        <v>191</v>
      </c>
      <c r="M199" t="s">
        <v>192</v>
      </c>
      <c r="P199" t="s">
        <v>508</v>
      </c>
      <c r="R199" t="s">
        <v>438</v>
      </c>
      <c r="X199">
        <f>vue="Situation"</f>
        <v>0</v>
      </c>
    </row>
    <row r="200" spans="1:24">
      <c r="A200" t="s">
        <v>509</v>
      </c>
      <c r="B200" t="s">
        <v>109</v>
      </c>
      <c r="C200">
        <v>685</v>
      </c>
      <c r="D200">
        <v>387</v>
      </c>
      <c r="E200">
        <v>383</v>
      </c>
      <c r="F200">
        <v>26</v>
      </c>
      <c r="H200" t="s">
        <v>184</v>
      </c>
      <c r="I200">
        <v>11.5</v>
      </c>
      <c r="J200">
        <v>1</v>
      </c>
      <c r="K200" t="s">
        <v>185</v>
      </c>
      <c r="L200" t="s">
        <v>191</v>
      </c>
      <c r="M200" t="s">
        <v>192</v>
      </c>
      <c r="N200">
        <v>1</v>
      </c>
      <c r="R200" t="s">
        <v>503</v>
      </c>
      <c r="V200">
        <f>INDEX(Calcul!$N$43:$N$49,Calcul!$B$52)</f>
        <v>0</v>
      </c>
      <c r="X200">
        <f>vue="Situation"</f>
        <v>0</v>
      </c>
    </row>
    <row r="201" spans="1:24">
      <c r="A201" t="s">
        <v>510</v>
      </c>
      <c r="B201" t="s">
        <v>16</v>
      </c>
      <c r="C201">
        <v>595</v>
      </c>
      <c r="D201">
        <v>413</v>
      </c>
      <c r="E201">
        <v>475</v>
      </c>
      <c r="F201">
        <v>0</v>
      </c>
      <c r="H201" t="s">
        <v>184</v>
      </c>
      <c r="R201" t="s">
        <v>16</v>
      </c>
      <c r="X201">
        <f>vue="Situation"</f>
        <v>0</v>
      </c>
    </row>
    <row r="202" spans="1:24">
      <c r="A202" t="s">
        <v>511</v>
      </c>
      <c r="B202" t="s">
        <v>109</v>
      </c>
      <c r="C202">
        <v>597</v>
      </c>
      <c r="D202">
        <v>413</v>
      </c>
      <c r="E202">
        <v>84</v>
      </c>
      <c r="F202">
        <v>26</v>
      </c>
      <c r="H202" t="s">
        <v>184</v>
      </c>
      <c r="I202">
        <v>9.5</v>
      </c>
      <c r="J202">
        <v>1</v>
      </c>
      <c r="K202" t="s">
        <v>185</v>
      </c>
      <c r="L202" t="s">
        <v>191</v>
      </c>
      <c r="M202" t="s">
        <v>192</v>
      </c>
      <c r="P202" t="s">
        <v>512</v>
      </c>
      <c r="R202" t="s">
        <v>438</v>
      </c>
      <c r="X202">
        <f>vue="Situation"</f>
        <v>0</v>
      </c>
    </row>
    <row r="203" spans="1:24">
      <c r="A203" t="s">
        <v>513</v>
      </c>
      <c r="B203" t="s">
        <v>109</v>
      </c>
      <c r="C203">
        <v>685</v>
      </c>
      <c r="D203">
        <v>413</v>
      </c>
      <c r="E203">
        <v>383</v>
      </c>
      <c r="F203">
        <v>26</v>
      </c>
      <c r="H203" t="s">
        <v>184</v>
      </c>
      <c r="I203">
        <v>11.5</v>
      </c>
      <c r="J203">
        <v>1</v>
      </c>
      <c r="K203" t="s">
        <v>185</v>
      </c>
      <c r="L203" t="s">
        <v>191</v>
      </c>
      <c r="M203" t="s">
        <v>192</v>
      </c>
      <c r="N203">
        <v>1</v>
      </c>
      <c r="R203" t="s">
        <v>503</v>
      </c>
      <c r="V203">
        <f>INDEX(Calcul!$O$43:$O$49,Calcul!$B$52)</f>
        <v>0</v>
      </c>
      <c r="X203">
        <f>vue="Situation"</f>
        <v>0</v>
      </c>
    </row>
    <row r="204" spans="1:24">
      <c r="A204" t="s">
        <v>514</v>
      </c>
      <c r="B204" t="s">
        <v>16</v>
      </c>
      <c r="C204">
        <v>595</v>
      </c>
      <c r="D204">
        <v>439</v>
      </c>
      <c r="E204">
        <v>475</v>
      </c>
      <c r="F204">
        <v>0</v>
      </c>
      <c r="H204" t="s">
        <v>184</v>
      </c>
      <c r="R204" t="s">
        <v>16</v>
      </c>
      <c r="X204">
        <f>vue="Situation"</f>
        <v>0</v>
      </c>
    </row>
    <row r="205" spans="1:24">
      <c r="A205" t="s">
        <v>515</v>
      </c>
      <c r="B205" t="s">
        <v>109</v>
      </c>
      <c r="C205">
        <v>597</v>
      </c>
      <c r="D205">
        <v>446</v>
      </c>
      <c r="E205">
        <v>84</v>
      </c>
      <c r="F205">
        <v>26</v>
      </c>
      <c r="H205" t="s">
        <v>184</v>
      </c>
      <c r="I205">
        <v>9.5</v>
      </c>
      <c r="J205">
        <v>1</v>
      </c>
      <c r="K205" t="s">
        <v>185</v>
      </c>
      <c r="L205" t="s">
        <v>191</v>
      </c>
      <c r="M205" t="s">
        <v>192</v>
      </c>
      <c r="P205" t="s">
        <v>516</v>
      </c>
      <c r="R205" t="s">
        <v>438</v>
      </c>
      <c r="X205">
        <f>vue="Situation"</f>
        <v>0</v>
      </c>
    </row>
    <row r="206" spans="1:24">
      <c r="A206" t="s">
        <v>517</v>
      </c>
      <c r="B206" t="s">
        <v>109</v>
      </c>
      <c r="C206">
        <v>685</v>
      </c>
      <c r="D206">
        <v>445</v>
      </c>
      <c r="E206">
        <v>383</v>
      </c>
      <c r="F206">
        <v>72</v>
      </c>
      <c r="H206" t="s">
        <v>184</v>
      </c>
      <c r="I206">
        <v>11.5</v>
      </c>
      <c r="J206">
        <v>1</v>
      </c>
      <c r="K206" t="s">
        <v>185</v>
      </c>
      <c r="L206" t="s">
        <v>518</v>
      </c>
      <c r="M206" t="s">
        <v>192</v>
      </c>
      <c r="N206">
        <v>1</v>
      </c>
      <c r="R206" t="s">
        <v>503</v>
      </c>
      <c r="V206">
        <f>INDEX(Calcul!$P$43:$P$49,Calcul!$B$52)</f>
        <v>0</v>
      </c>
      <c r="X206">
        <f>vue="Situation"</f>
        <v>0</v>
      </c>
    </row>
    <row r="207" spans="1:24">
      <c r="A207" t="s">
        <v>519</v>
      </c>
      <c r="B207" t="s">
        <v>16</v>
      </c>
      <c r="C207">
        <v>595</v>
      </c>
      <c r="D207">
        <v>519</v>
      </c>
      <c r="E207">
        <v>475</v>
      </c>
      <c r="F207">
        <v>0</v>
      </c>
      <c r="H207" t="s">
        <v>184</v>
      </c>
      <c r="R207" t="s">
        <v>16</v>
      </c>
      <c r="X207">
        <f>vue="Situation"</f>
        <v>0</v>
      </c>
    </row>
    <row r="208" spans="1:24">
      <c r="A208" t="s">
        <v>520</v>
      </c>
      <c r="B208" t="s">
        <v>109</v>
      </c>
      <c r="C208">
        <v>597</v>
      </c>
      <c r="D208">
        <v>519</v>
      </c>
      <c r="E208">
        <v>84</v>
      </c>
      <c r="F208">
        <v>26</v>
      </c>
      <c r="H208" t="s">
        <v>184</v>
      </c>
      <c r="I208">
        <v>9.5</v>
      </c>
      <c r="J208">
        <v>1</v>
      </c>
      <c r="K208" t="s">
        <v>185</v>
      </c>
      <c r="L208" t="s">
        <v>191</v>
      </c>
      <c r="M208" t="s">
        <v>192</v>
      </c>
      <c r="P208" t="s">
        <v>521</v>
      </c>
      <c r="R208" t="s">
        <v>438</v>
      </c>
      <c r="X208">
        <f>vue="Situation"</f>
        <v>0</v>
      </c>
    </row>
    <row r="209" spans="1:24">
      <c r="A209" t="s">
        <v>522</v>
      </c>
      <c r="B209" t="s">
        <v>109</v>
      </c>
      <c r="C209">
        <v>685</v>
      </c>
      <c r="D209">
        <v>519</v>
      </c>
      <c r="E209">
        <v>383</v>
      </c>
      <c r="F209">
        <v>26</v>
      </c>
      <c r="H209" t="s">
        <v>184</v>
      </c>
      <c r="I209">
        <v>11.5</v>
      </c>
      <c r="J209">
        <v>1</v>
      </c>
      <c r="K209" t="s">
        <v>185</v>
      </c>
      <c r="L209" t="s">
        <v>191</v>
      </c>
      <c r="M209" t="s">
        <v>192</v>
      </c>
      <c r="N209">
        <v>1</v>
      </c>
      <c r="R209" t="s">
        <v>503</v>
      </c>
      <c r="V209">
        <f>INDEX(Calcul!$Q$43:$Q$49,Calcul!$B$52)</f>
        <v>0</v>
      </c>
      <c r="X209">
        <f>vue="Situation"</f>
        <v>0</v>
      </c>
    </row>
    <row r="210" spans="1:24">
      <c r="A210" t="s">
        <v>523</v>
      </c>
      <c r="B210" t="s">
        <v>16</v>
      </c>
      <c r="C210">
        <v>595</v>
      </c>
      <c r="D210">
        <v>545</v>
      </c>
      <c r="E210">
        <v>475</v>
      </c>
      <c r="F210">
        <v>0</v>
      </c>
      <c r="H210" t="s">
        <v>184</v>
      </c>
      <c r="R210" t="s">
        <v>16</v>
      </c>
      <c r="X210">
        <f>vue="Situation"</f>
        <v>0</v>
      </c>
    </row>
    <row r="211" spans="1:24">
      <c r="A211" t="s">
        <v>524</v>
      </c>
      <c r="B211" t="s">
        <v>109</v>
      </c>
      <c r="C211">
        <v>597</v>
      </c>
      <c r="D211">
        <v>545</v>
      </c>
      <c r="E211">
        <v>84</v>
      </c>
      <c r="F211">
        <v>26</v>
      </c>
      <c r="H211" t="s">
        <v>184</v>
      </c>
      <c r="I211">
        <v>9.5</v>
      </c>
      <c r="J211">
        <v>1</v>
      </c>
      <c r="K211" t="s">
        <v>185</v>
      </c>
      <c r="L211" t="s">
        <v>191</v>
      </c>
      <c r="M211" t="s">
        <v>192</v>
      </c>
      <c r="P211" t="s">
        <v>525</v>
      </c>
      <c r="R211" t="s">
        <v>438</v>
      </c>
      <c r="X211">
        <f>vue="Situation"</f>
        <v>0</v>
      </c>
    </row>
    <row r="212" spans="1:24">
      <c r="A212" t="s">
        <v>526</v>
      </c>
      <c r="B212" t="s">
        <v>109</v>
      </c>
      <c r="C212">
        <v>685</v>
      </c>
      <c r="D212">
        <v>545</v>
      </c>
      <c r="E212">
        <v>383</v>
      </c>
      <c r="F212">
        <v>26</v>
      </c>
      <c r="H212" t="s">
        <v>184</v>
      </c>
      <c r="I212">
        <v>11.5</v>
      </c>
      <c r="J212">
        <v>1</v>
      </c>
      <c r="K212" t="s">
        <v>185</v>
      </c>
      <c r="L212" t="s">
        <v>191</v>
      </c>
      <c r="M212" t="s">
        <v>192</v>
      </c>
      <c r="N212">
        <v>1</v>
      </c>
      <c r="R212" t="s">
        <v>503</v>
      </c>
      <c r="V212">
        <f>IF(v_dlpi="","DLPI non renseignée",IF(v_dlpi-TODAY()&gt;0,"J-"&amp;(v_dlpi-TODAY())&amp;" avant la DLPI",IF(v_dlpi-TODAY()=0,"DLPI aujourd'hui","DLPI dépassée de "&amp;(TODAY()-v_dlpi)&amp;" j")))</f>
        <v>0</v>
      </c>
      <c r="X212">
        <f>vue="Situation"</f>
        <v>0</v>
      </c>
    </row>
    <row r="213" spans="1:24">
      <c r="A213" t="s">
        <v>527</v>
      </c>
      <c r="B213" t="s">
        <v>109</v>
      </c>
      <c r="C213">
        <v>585</v>
      </c>
      <c r="D213">
        <v>575</v>
      </c>
      <c r="E213">
        <v>495</v>
      </c>
      <c r="F213">
        <v>20</v>
      </c>
      <c r="H213" t="s">
        <v>184</v>
      </c>
      <c r="I213">
        <v>9.5</v>
      </c>
      <c r="J213">
        <v>0</v>
      </c>
      <c r="K213" t="s">
        <v>185</v>
      </c>
      <c r="L213" t="s">
        <v>191</v>
      </c>
      <c r="M213" t="s">
        <v>192</v>
      </c>
      <c r="R213" t="s">
        <v>438</v>
      </c>
      <c r="V213">
        <f>IF(OR(Calcul!$B$51=Calcul!$B$52,Calcul!$B$51=0),"Touche une étape de la frise ou le nom d'une grande tâche pour voir sa situation.","Étape en cours : "&amp;Calcul!$B$51&amp;" · "&amp;INDEX(Calcul!$C$43:$C$49,Calcul!$B$51))</f>
        <v>0</v>
      </c>
      <c r="X213">
        <f>vue="Situation"</f>
        <v>0</v>
      </c>
    </row>
    <row r="214" spans="1:24">
      <c r="A214" t="s">
        <v>528</v>
      </c>
      <c r="B214" t="s">
        <v>183</v>
      </c>
      <c r="C214">
        <v>585</v>
      </c>
      <c r="D214">
        <v>301</v>
      </c>
      <c r="E214">
        <v>243</v>
      </c>
      <c r="F214">
        <v>66</v>
      </c>
      <c r="G214">
        <v>16</v>
      </c>
      <c r="H214" t="s">
        <v>184</v>
      </c>
      <c r="R214" t="s">
        <v>506</v>
      </c>
      <c r="X214">
        <f>vue="Info"</f>
        <v>0</v>
      </c>
    </row>
    <row r="215" spans="1:24">
      <c r="A215" t="s">
        <v>529</v>
      </c>
      <c r="B215" t="s">
        <v>109</v>
      </c>
      <c r="C215">
        <v>595</v>
      </c>
      <c r="D215">
        <v>308</v>
      </c>
      <c r="E215">
        <v>193</v>
      </c>
      <c r="F215">
        <v>14</v>
      </c>
      <c r="H215" t="s">
        <v>184</v>
      </c>
      <c r="I215">
        <v>9.5</v>
      </c>
      <c r="J215">
        <v>1</v>
      </c>
      <c r="K215" t="s">
        <v>185</v>
      </c>
      <c r="L215" t="s">
        <v>191</v>
      </c>
      <c r="M215" t="s">
        <v>192</v>
      </c>
      <c r="O215">
        <v>1</v>
      </c>
      <c r="P215" t="s">
        <v>530</v>
      </c>
      <c r="R215" t="s">
        <v>438</v>
      </c>
      <c r="X215">
        <f>vue="Info"</f>
        <v>0</v>
      </c>
    </row>
    <row r="216" spans="1:24">
      <c r="A216" t="s">
        <v>531</v>
      </c>
      <c r="B216" t="s">
        <v>183</v>
      </c>
      <c r="C216">
        <v>799</v>
      </c>
      <c r="D216">
        <v>307</v>
      </c>
      <c r="E216">
        <v>20</v>
      </c>
      <c r="F216">
        <v>20</v>
      </c>
      <c r="G216">
        <v>7</v>
      </c>
      <c r="H216" t="s">
        <v>184</v>
      </c>
      <c r="R216" t="s">
        <v>532</v>
      </c>
      <c r="S216" t="s">
        <v>533</v>
      </c>
      <c r="W216">
        <f>IF(Calcul!$C$945="","ico_dis","ico")</f>
        <v>0</v>
      </c>
      <c r="X216">
        <f>vue="Info"</f>
        <v>0</v>
      </c>
    </row>
    <row r="217" spans="1:24">
      <c r="A217" t="s">
        <v>534</v>
      </c>
      <c r="B217" t="s">
        <v>183</v>
      </c>
      <c r="C217">
        <v>804</v>
      </c>
      <c r="D217">
        <v>311</v>
      </c>
      <c r="E217">
        <v>8</v>
      </c>
      <c r="F217">
        <v>8</v>
      </c>
      <c r="G217">
        <v>2</v>
      </c>
      <c r="H217" t="s">
        <v>184</v>
      </c>
      <c r="R217" t="s">
        <v>535</v>
      </c>
      <c r="S217" t="s">
        <v>533</v>
      </c>
      <c r="W217">
        <f>IF(Calcul!$C$945="","ico_back_dis","ico_back")</f>
        <v>0</v>
      </c>
      <c r="X217">
        <f>vue="Info"</f>
        <v>0</v>
      </c>
    </row>
    <row r="218" spans="1:24">
      <c r="A218" t="s">
        <v>536</v>
      </c>
      <c r="B218" t="s">
        <v>183</v>
      </c>
      <c r="C218">
        <v>807</v>
      </c>
      <c r="D218">
        <v>314</v>
      </c>
      <c r="E218">
        <v>8</v>
      </c>
      <c r="F218">
        <v>8</v>
      </c>
      <c r="G218">
        <v>2</v>
      </c>
      <c r="H218" t="s">
        <v>184</v>
      </c>
      <c r="R218" t="s">
        <v>537</v>
      </c>
      <c r="S218" t="s">
        <v>533</v>
      </c>
      <c r="W218">
        <f>IF(Calcul!$C$945="","ico_front_dis","ico_front")</f>
        <v>0</v>
      </c>
      <c r="X218">
        <f>vue="Info"</f>
        <v>0</v>
      </c>
    </row>
    <row r="219" spans="1:24">
      <c r="A219" t="s">
        <v>538</v>
      </c>
      <c r="B219" t="s">
        <v>109</v>
      </c>
      <c r="C219">
        <v>799</v>
      </c>
      <c r="D219">
        <v>307</v>
      </c>
      <c r="E219">
        <v>20</v>
      </c>
      <c r="F219">
        <v>20</v>
      </c>
      <c r="H219" t="s">
        <v>184</v>
      </c>
      <c r="I219">
        <v>11</v>
      </c>
      <c r="J219">
        <v>1</v>
      </c>
      <c r="K219" t="s">
        <v>196</v>
      </c>
      <c r="L219" t="s">
        <v>191</v>
      </c>
      <c r="M219" t="s">
        <v>192</v>
      </c>
      <c r="P219" t="s">
        <v>539</v>
      </c>
      <c r="R219" t="s">
        <v>540</v>
      </c>
      <c r="S219" t="s">
        <v>533</v>
      </c>
      <c r="X219">
        <f>FALSE</f>
        <v>0</v>
      </c>
    </row>
    <row r="220" spans="1:24">
      <c r="A220" t="s">
        <v>541</v>
      </c>
      <c r="B220" t="s">
        <v>109</v>
      </c>
      <c r="C220">
        <v>593</v>
      </c>
      <c r="D220">
        <v>325</v>
      </c>
      <c r="E220">
        <v>225</v>
      </c>
      <c r="F220">
        <v>22</v>
      </c>
      <c r="H220" t="s">
        <v>211</v>
      </c>
      <c r="I220">
        <v>14</v>
      </c>
      <c r="J220">
        <v>1</v>
      </c>
      <c r="K220" t="s">
        <v>212</v>
      </c>
      <c r="L220" t="s">
        <v>191</v>
      </c>
      <c r="M220" t="s">
        <v>192</v>
      </c>
      <c r="R220" t="s">
        <v>503</v>
      </c>
      <c r="V220">
        <f>IF(Calcul!$C$945="","—",Calcul!$D$945&amp;" "&amp;Calcul!$C$945)</f>
        <v>0</v>
      </c>
      <c r="X220">
        <f>vue="Info"</f>
        <v>0</v>
      </c>
    </row>
    <row r="221" spans="1:24">
      <c r="A221" t="s">
        <v>542</v>
      </c>
      <c r="B221" t="s">
        <v>183</v>
      </c>
      <c r="C221">
        <v>595</v>
      </c>
      <c r="D221">
        <v>346</v>
      </c>
      <c r="E221">
        <v>50</v>
      </c>
      <c r="F221">
        <v>15</v>
      </c>
      <c r="G221">
        <v>7</v>
      </c>
      <c r="H221" t="s">
        <v>184</v>
      </c>
      <c r="I221">
        <v>8.5</v>
      </c>
      <c r="J221">
        <v>1</v>
      </c>
      <c r="K221" t="s">
        <v>196</v>
      </c>
      <c r="M221" t="s">
        <v>543</v>
      </c>
      <c r="R221" t="s">
        <v>544</v>
      </c>
      <c r="T221">
        <v>818</v>
      </c>
      <c r="U221">
        <v>1</v>
      </c>
      <c r="V221">
        <f>Calcul!$E$945</f>
        <v>0</v>
      </c>
      <c r="X221">
        <f>AND(vue="Info",Calcul!$E$945&lt;&gt;"")</f>
        <v>0</v>
      </c>
    </row>
    <row r="222" spans="1:24">
      <c r="A222" t="s">
        <v>545</v>
      </c>
      <c r="B222" t="s">
        <v>183</v>
      </c>
      <c r="C222">
        <v>837</v>
      </c>
      <c r="D222">
        <v>301</v>
      </c>
      <c r="E222">
        <v>243</v>
      </c>
      <c r="F222">
        <v>66</v>
      </c>
      <c r="G222">
        <v>16</v>
      </c>
      <c r="H222" t="s">
        <v>184</v>
      </c>
      <c r="R222" t="s">
        <v>506</v>
      </c>
      <c r="X222">
        <f>vue="Info"</f>
        <v>0</v>
      </c>
    </row>
    <row r="223" spans="1:24">
      <c r="A223" t="s">
        <v>546</v>
      </c>
      <c r="B223" t="s">
        <v>109</v>
      </c>
      <c r="C223">
        <v>847</v>
      </c>
      <c r="D223">
        <v>308</v>
      </c>
      <c r="E223">
        <v>193</v>
      </c>
      <c r="F223">
        <v>14</v>
      </c>
      <c r="H223" t="s">
        <v>184</v>
      </c>
      <c r="I223">
        <v>9.5</v>
      </c>
      <c r="J223">
        <v>1</v>
      </c>
      <c r="K223" t="s">
        <v>185</v>
      </c>
      <c r="L223" t="s">
        <v>191</v>
      </c>
      <c r="M223" t="s">
        <v>192</v>
      </c>
      <c r="O223">
        <v>1</v>
      </c>
      <c r="P223" t="s">
        <v>547</v>
      </c>
      <c r="R223" t="s">
        <v>438</v>
      </c>
      <c r="X223">
        <f>vue="Info"</f>
        <v>0</v>
      </c>
    </row>
    <row r="224" spans="1:24">
      <c r="A224" t="s">
        <v>548</v>
      </c>
      <c r="B224" t="s">
        <v>183</v>
      </c>
      <c r="C224">
        <v>1051</v>
      </c>
      <c r="D224">
        <v>307</v>
      </c>
      <c r="E224">
        <v>20</v>
      </c>
      <c r="F224">
        <v>20</v>
      </c>
      <c r="G224">
        <v>7</v>
      </c>
      <c r="H224" t="s">
        <v>184</v>
      </c>
      <c r="R224" t="s">
        <v>532</v>
      </c>
      <c r="S224" t="s">
        <v>549</v>
      </c>
      <c r="W224">
        <f>IF(Calcul!$C$946="","ico_dis","ico")</f>
        <v>0</v>
      </c>
      <c r="X224">
        <f>vue="Info"</f>
        <v>0</v>
      </c>
    </row>
    <row r="225" spans="1:24">
      <c r="A225" t="s">
        <v>550</v>
      </c>
      <c r="B225" t="s">
        <v>183</v>
      </c>
      <c r="C225">
        <v>1056</v>
      </c>
      <c r="D225">
        <v>311</v>
      </c>
      <c r="E225">
        <v>8</v>
      </c>
      <c r="F225">
        <v>8</v>
      </c>
      <c r="G225">
        <v>2</v>
      </c>
      <c r="H225" t="s">
        <v>184</v>
      </c>
      <c r="R225" t="s">
        <v>535</v>
      </c>
      <c r="S225" t="s">
        <v>549</v>
      </c>
      <c r="W225">
        <f>IF(Calcul!$C$946="","ico_back_dis","ico_back")</f>
        <v>0</v>
      </c>
      <c r="X225">
        <f>vue="Info"</f>
        <v>0</v>
      </c>
    </row>
    <row r="226" spans="1:24">
      <c r="A226" t="s">
        <v>551</v>
      </c>
      <c r="B226" t="s">
        <v>183</v>
      </c>
      <c r="C226">
        <v>1059</v>
      </c>
      <c r="D226">
        <v>314</v>
      </c>
      <c r="E226">
        <v>8</v>
      </c>
      <c r="F226">
        <v>8</v>
      </c>
      <c r="G226">
        <v>2</v>
      </c>
      <c r="H226" t="s">
        <v>184</v>
      </c>
      <c r="R226" t="s">
        <v>537</v>
      </c>
      <c r="S226" t="s">
        <v>549</v>
      </c>
      <c r="W226">
        <f>IF(Calcul!$C$946="","ico_front_dis","ico_front")</f>
        <v>0</v>
      </c>
      <c r="X226">
        <f>vue="Info"</f>
        <v>0</v>
      </c>
    </row>
    <row r="227" spans="1:24">
      <c r="A227" t="s">
        <v>552</v>
      </c>
      <c r="B227" t="s">
        <v>109</v>
      </c>
      <c r="C227">
        <v>1051</v>
      </c>
      <c r="D227">
        <v>307</v>
      </c>
      <c r="E227">
        <v>20</v>
      </c>
      <c r="F227">
        <v>20</v>
      </c>
      <c r="H227" t="s">
        <v>184</v>
      </c>
      <c r="I227">
        <v>11</v>
      </c>
      <c r="J227">
        <v>1</v>
      </c>
      <c r="K227" t="s">
        <v>196</v>
      </c>
      <c r="L227" t="s">
        <v>191</v>
      </c>
      <c r="M227" t="s">
        <v>192</v>
      </c>
      <c r="P227" t="s">
        <v>539</v>
      </c>
      <c r="R227" t="s">
        <v>540</v>
      </c>
      <c r="S227" t="s">
        <v>549</v>
      </c>
      <c r="X227">
        <f>FALSE</f>
        <v>0</v>
      </c>
    </row>
    <row r="228" spans="1:24">
      <c r="A228" t="s">
        <v>553</v>
      </c>
      <c r="B228" t="s">
        <v>109</v>
      </c>
      <c r="C228">
        <v>845</v>
      </c>
      <c r="D228">
        <v>325</v>
      </c>
      <c r="E228">
        <v>225</v>
      </c>
      <c r="F228">
        <v>22</v>
      </c>
      <c r="H228" t="s">
        <v>211</v>
      </c>
      <c r="I228">
        <v>14</v>
      </c>
      <c r="J228">
        <v>1</v>
      </c>
      <c r="K228" t="s">
        <v>212</v>
      </c>
      <c r="L228" t="s">
        <v>191</v>
      </c>
      <c r="M228" t="s">
        <v>192</v>
      </c>
      <c r="R228" t="s">
        <v>503</v>
      </c>
      <c r="V228">
        <f>IF(Calcul!$C$946="","—",Calcul!$D$946&amp;" "&amp;Calcul!$C$946)</f>
        <v>0</v>
      </c>
      <c r="X228">
        <f>vue="Info"</f>
        <v>0</v>
      </c>
    </row>
    <row r="229" spans="1:24">
      <c r="A229" t="s">
        <v>554</v>
      </c>
      <c r="B229" t="s">
        <v>183</v>
      </c>
      <c r="C229">
        <v>847</v>
      </c>
      <c r="D229">
        <v>346</v>
      </c>
      <c r="E229">
        <v>50</v>
      </c>
      <c r="F229">
        <v>15</v>
      </c>
      <c r="G229">
        <v>7</v>
      </c>
      <c r="H229" t="s">
        <v>184</v>
      </c>
      <c r="I229">
        <v>8.5</v>
      </c>
      <c r="J229">
        <v>1</v>
      </c>
      <c r="K229" t="s">
        <v>196</v>
      </c>
      <c r="M229" t="s">
        <v>543</v>
      </c>
      <c r="R229" t="s">
        <v>544</v>
      </c>
      <c r="T229">
        <v>1070</v>
      </c>
      <c r="U229">
        <v>1</v>
      </c>
      <c r="V229">
        <f>Calcul!$E$946</f>
        <v>0</v>
      </c>
      <c r="X229">
        <f>AND(vue="Info",Calcul!$E$946&lt;&gt;"")</f>
        <v>0</v>
      </c>
    </row>
    <row r="230" spans="1:24">
      <c r="A230" t="s">
        <v>555</v>
      </c>
      <c r="B230" t="s">
        <v>183</v>
      </c>
      <c r="C230">
        <v>585</v>
      </c>
      <c r="D230">
        <v>407</v>
      </c>
      <c r="E230">
        <v>495</v>
      </c>
      <c r="F230">
        <v>62</v>
      </c>
      <c r="G230">
        <v>16</v>
      </c>
      <c r="H230" t="s">
        <v>184</v>
      </c>
      <c r="R230" t="s">
        <v>506</v>
      </c>
      <c r="X230">
        <f>vue="Info"</f>
        <v>0</v>
      </c>
    </row>
    <row r="231" spans="1:24">
      <c r="A231" t="s">
        <v>556</v>
      </c>
      <c r="B231" t="s">
        <v>109</v>
      </c>
      <c r="C231">
        <v>585</v>
      </c>
      <c r="D231">
        <v>414</v>
      </c>
      <c r="E231">
        <v>495</v>
      </c>
      <c r="F231">
        <v>14</v>
      </c>
      <c r="H231" t="s">
        <v>184</v>
      </c>
      <c r="I231">
        <v>9.5</v>
      </c>
      <c r="J231">
        <v>1</v>
      </c>
      <c r="K231" t="s">
        <v>196</v>
      </c>
      <c r="L231" t="s">
        <v>191</v>
      </c>
      <c r="M231" t="s">
        <v>192</v>
      </c>
      <c r="O231">
        <v>1</v>
      </c>
      <c r="P231" t="s">
        <v>557</v>
      </c>
      <c r="R231" t="s">
        <v>438</v>
      </c>
      <c r="X231">
        <f>vue="Info"</f>
        <v>0</v>
      </c>
    </row>
    <row r="232" spans="1:24">
      <c r="A232" t="s">
        <v>558</v>
      </c>
      <c r="B232" t="s">
        <v>109</v>
      </c>
      <c r="C232">
        <v>615</v>
      </c>
      <c r="D232">
        <v>432</v>
      </c>
      <c r="E232">
        <v>435</v>
      </c>
      <c r="F232">
        <v>28</v>
      </c>
      <c r="H232" t="s">
        <v>211</v>
      </c>
      <c r="I232">
        <v>16</v>
      </c>
      <c r="J232">
        <v>1</v>
      </c>
      <c r="K232" t="s">
        <v>196</v>
      </c>
      <c r="L232" t="s">
        <v>191</v>
      </c>
      <c r="M232" t="s">
        <v>192</v>
      </c>
      <c r="O232">
        <v>1</v>
      </c>
      <c r="R232" t="s">
        <v>503</v>
      </c>
      <c r="V232">
        <f>MID(Calcul!$B$82,1,5)&amp;" "&amp;MID(Calcul!$B$82,6,5)&amp;" "&amp;MID(Calcul!$B$82,11,5)&amp;" "&amp;MID(Calcul!$B$82,16,5)&amp;" "&amp;MID(Calcul!$B$82,21,5)</f>
        <v>0</v>
      </c>
      <c r="X232">
        <f>vue="Info"</f>
        <v>0</v>
      </c>
    </row>
    <row r="233" spans="1:24">
      <c r="A233" t="s">
        <v>559</v>
      </c>
      <c r="B233" t="s">
        <v>183</v>
      </c>
      <c r="C233">
        <v>1050</v>
      </c>
      <c r="D233">
        <v>415</v>
      </c>
      <c r="E233">
        <v>20</v>
      </c>
      <c r="F233">
        <v>20</v>
      </c>
      <c r="G233">
        <v>7</v>
      </c>
      <c r="H233" t="s">
        <v>184</v>
      </c>
      <c r="R233" t="s">
        <v>532</v>
      </c>
      <c r="S233" t="s">
        <v>560</v>
      </c>
      <c r="W233">
        <f>IF(FALSE,"ico_dis","ico")</f>
        <v>0</v>
      </c>
      <c r="X233">
        <f>vue="Info"</f>
        <v>0</v>
      </c>
    </row>
    <row r="234" spans="1:24">
      <c r="A234" t="s">
        <v>561</v>
      </c>
      <c r="B234" t="s">
        <v>183</v>
      </c>
      <c r="C234">
        <v>1055</v>
      </c>
      <c r="D234">
        <v>419</v>
      </c>
      <c r="E234">
        <v>8</v>
      </c>
      <c r="F234">
        <v>8</v>
      </c>
      <c r="G234">
        <v>2</v>
      </c>
      <c r="H234" t="s">
        <v>184</v>
      </c>
      <c r="R234" t="s">
        <v>535</v>
      </c>
      <c r="S234" t="s">
        <v>560</v>
      </c>
      <c r="W234">
        <f>IF(FALSE,"ico_back_dis","ico_back")</f>
        <v>0</v>
      </c>
      <c r="X234">
        <f>vue="Info"</f>
        <v>0</v>
      </c>
    </row>
    <row r="235" spans="1:24">
      <c r="A235" t="s">
        <v>562</v>
      </c>
      <c r="B235" t="s">
        <v>183</v>
      </c>
      <c r="C235">
        <v>1058</v>
      </c>
      <c r="D235">
        <v>422</v>
      </c>
      <c r="E235">
        <v>8</v>
      </c>
      <c r="F235">
        <v>8</v>
      </c>
      <c r="G235">
        <v>2</v>
      </c>
      <c r="H235" t="s">
        <v>184</v>
      </c>
      <c r="R235" t="s">
        <v>537</v>
      </c>
      <c r="S235" t="s">
        <v>560</v>
      </c>
      <c r="W235">
        <f>IF(FALSE,"ico_front_dis","ico_front")</f>
        <v>0</v>
      </c>
      <c r="X235">
        <f>vue="Info"</f>
        <v>0</v>
      </c>
    </row>
    <row r="236" spans="1:24">
      <c r="A236" t="s">
        <v>563</v>
      </c>
      <c r="B236" t="s">
        <v>109</v>
      </c>
      <c r="C236">
        <v>1050</v>
      </c>
      <c r="D236">
        <v>415</v>
      </c>
      <c r="E236">
        <v>20</v>
      </c>
      <c r="F236">
        <v>20</v>
      </c>
      <c r="H236" t="s">
        <v>184</v>
      </c>
      <c r="I236">
        <v>11</v>
      </c>
      <c r="J236">
        <v>1</v>
      </c>
      <c r="K236" t="s">
        <v>196</v>
      </c>
      <c r="L236" t="s">
        <v>191</v>
      </c>
      <c r="M236" t="s">
        <v>192</v>
      </c>
      <c r="P236" t="s">
        <v>539</v>
      </c>
      <c r="R236" t="s">
        <v>540</v>
      </c>
      <c r="S236" t="s">
        <v>560</v>
      </c>
      <c r="X236">
        <f>FALSE</f>
        <v>0</v>
      </c>
    </row>
    <row r="237" spans="1:24">
      <c r="A237" t="s">
        <v>564</v>
      </c>
      <c r="B237" t="s">
        <v>183</v>
      </c>
      <c r="C237">
        <v>585</v>
      </c>
      <c r="D237">
        <v>509</v>
      </c>
      <c r="E237">
        <v>243</v>
      </c>
      <c r="F237">
        <v>34</v>
      </c>
      <c r="G237">
        <v>17</v>
      </c>
      <c r="H237" t="s">
        <v>184</v>
      </c>
      <c r="R237" t="s">
        <v>506</v>
      </c>
      <c r="X237">
        <f>vue="Info"</f>
        <v>0</v>
      </c>
    </row>
    <row r="238" spans="1:24">
      <c r="A238" t="s">
        <v>565</v>
      </c>
      <c r="B238" t="s">
        <v>109</v>
      </c>
      <c r="C238">
        <v>585</v>
      </c>
      <c r="D238">
        <v>509</v>
      </c>
      <c r="E238">
        <v>52</v>
      </c>
      <c r="F238">
        <v>34</v>
      </c>
      <c r="H238" t="s">
        <v>184</v>
      </c>
      <c r="I238">
        <v>9.5</v>
      </c>
      <c r="J238">
        <v>1</v>
      </c>
      <c r="K238" t="s">
        <v>196</v>
      </c>
      <c r="L238" t="s">
        <v>191</v>
      </c>
      <c r="M238" t="s">
        <v>192</v>
      </c>
      <c r="O238">
        <v>1</v>
      </c>
      <c r="P238" t="s">
        <v>127</v>
      </c>
      <c r="R238" t="s">
        <v>438</v>
      </c>
      <c r="X238">
        <f>vue="Info"</f>
        <v>0</v>
      </c>
    </row>
    <row r="239" spans="1:24">
      <c r="A239" t="s">
        <v>566</v>
      </c>
      <c r="B239" t="s">
        <v>16</v>
      </c>
      <c r="C239">
        <v>637</v>
      </c>
      <c r="D239">
        <v>517</v>
      </c>
      <c r="E239">
        <v>0</v>
      </c>
      <c r="F239">
        <v>18</v>
      </c>
      <c r="H239" t="s">
        <v>184</v>
      </c>
      <c r="R239" t="s">
        <v>567</v>
      </c>
      <c r="X239">
        <f>vue="Info"</f>
        <v>0</v>
      </c>
    </row>
    <row r="240" spans="1:24">
      <c r="A240" t="s">
        <v>568</v>
      </c>
      <c r="B240" t="s">
        <v>109</v>
      </c>
      <c r="C240">
        <v>645</v>
      </c>
      <c r="D240">
        <v>509</v>
      </c>
      <c r="E240">
        <v>152</v>
      </c>
      <c r="F240">
        <v>34</v>
      </c>
      <c r="H240" t="s">
        <v>211</v>
      </c>
      <c r="I240">
        <v>10.5</v>
      </c>
      <c r="J240">
        <v>1</v>
      </c>
      <c r="K240" t="s">
        <v>185</v>
      </c>
      <c r="L240" t="s">
        <v>191</v>
      </c>
      <c r="M240" t="s">
        <v>192</v>
      </c>
      <c r="O240">
        <v>0.3</v>
      </c>
      <c r="R240" t="s">
        <v>503</v>
      </c>
      <c r="V240">
        <f>MID(Calcul!$B$329,1,5)&amp;" "&amp;MID(Calcul!$B$329,6,5)&amp;" "&amp;MID(Calcul!$B$329,11,5)</f>
        <v>0</v>
      </c>
      <c r="X240">
        <f>vue="Info"</f>
        <v>0</v>
      </c>
    </row>
    <row r="241" spans="1:24">
      <c r="A241" t="s">
        <v>569</v>
      </c>
      <c r="B241" t="s">
        <v>183</v>
      </c>
      <c r="C241">
        <v>799</v>
      </c>
      <c r="D241">
        <v>516</v>
      </c>
      <c r="E241">
        <v>20</v>
      </c>
      <c r="F241">
        <v>20</v>
      </c>
      <c r="G241">
        <v>7</v>
      </c>
      <c r="H241" t="s">
        <v>184</v>
      </c>
      <c r="R241" t="s">
        <v>532</v>
      </c>
      <c r="S241" t="s">
        <v>570</v>
      </c>
      <c r="W241">
        <f>IF(FALSE,"ico_dis","ico")</f>
        <v>0</v>
      </c>
      <c r="X241">
        <f>vue="Info"</f>
        <v>0</v>
      </c>
    </row>
    <row r="242" spans="1:24">
      <c r="A242" t="s">
        <v>571</v>
      </c>
      <c r="B242" t="s">
        <v>183</v>
      </c>
      <c r="C242">
        <v>804</v>
      </c>
      <c r="D242">
        <v>520</v>
      </c>
      <c r="E242">
        <v>8</v>
      </c>
      <c r="F242">
        <v>8</v>
      </c>
      <c r="G242">
        <v>2</v>
      </c>
      <c r="H242" t="s">
        <v>184</v>
      </c>
      <c r="R242" t="s">
        <v>535</v>
      </c>
      <c r="S242" t="s">
        <v>570</v>
      </c>
      <c r="W242">
        <f>IF(FALSE,"ico_back_dis","ico_back")</f>
        <v>0</v>
      </c>
      <c r="X242">
        <f>vue="Info"</f>
        <v>0</v>
      </c>
    </row>
    <row r="243" spans="1:24">
      <c r="A243" t="s">
        <v>572</v>
      </c>
      <c r="B243" t="s">
        <v>183</v>
      </c>
      <c r="C243">
        <v>807</v>
      </c>
      <c r="D243">
        <v>523</v>
      </c>
      <c r="E243">
        <v>8</v>
      </c>
      <c r="F243">
        <v>8</v>
      </c>
      <c r="G243">
        <v>2</v>
      </c>
      <c r="H243" t="s">
        <v>184</v>
      </c>
      <c r="R243" t="s">
        <v>537</v>
      </c>
      <c r="S243" t="s">
        <v>570</v>
      </c>
      <c r="W243">
        <f>IF(FALSE,"ico_front_dis","ico_front")</f>
        <v>0</v>
      </c>
      <c r="X243">
        <f>vue="Info"</f>
        <v>0</v>
      </c>
    </row>
    <row r="244" spans="1:24">
      <c r="A244" t="s">
        <v>573</v>
      </c>
      <c r="B244" t="s">
        <v>109</v>
      </c>
      <c r="C244">
        <v>799</v>
      </c>
      <c r="D244">
        <v>516</v>
      </c>
      <c r="E244">
        <v>20</v>
      </c>
      <c r="F244">
        <v>20</v>
      </c>
      <c r="H244" t="s">
        <v>184</v>
      </c>
      <c r="I244">
        <v>11</v>
      </c>
      <c r="J244">
        <v>1</v>
      </c>
      <c r="K244" t="s">
        <v>196</v>
      </c>
      <c r="L244" t="s">
        <v>191</v>
      </c>
      <c r="M244" t="s">
        <v>192</v>
      </c>
      <c r="P244" t="s">
        <v>539</v>
      </c>
      <c r="R244" t="s">
        <v>540</v>
      </c>
      <c r="S244" t="s">
        <v>570</v>
      </c>
      <c r="X244">
        <f>FALSE</f>
        <v>0</v>
      </c>
    </row>
    <row r="245" spans="1:24">
      <c r="A245" t="s">
        <v>574</v>
      </c>
      <c r="B245" t="s">
        <v>183</v>
      </c>
      <c r="C245">
        <v>837</v>
      </c>
      <c r="D245">
        <v>509</v>
      </c>
      <c r="E245">
        <v>243</v>
      </c>
      <c r="F245">
        <v>34</v>
      </c>
      <c r="G245">
        <v>17</v>
      </c>
      <c r="H245" t="s">
        <v>184</v>
      </c>
      <c r="R245" t="s">
        <v>506</v>
      </c>
      <c r="X245">
        <f>vue="Info"</f>
        <v>0</v>
      </c>
    </row>
    <row r="246" spans="1:24">
      <c r="A246" t="s">
        <v>575</v>
      </c>
      <c r="B246" t="s">
        <v>109</v>
      </c>
      <c r="C246">
        <v>837</v>
      </c>
      <c r="D246">
        <v>509</v>
      </c>
      <c r="E246">
        <v>52</v>
      </c>
      <c r="F246">
        <v>34</v>
      </c>
      <c r="H246" t="s">
        <v>184</v>
      </c>
      <c r="I246">
        <v>9.5</v>
      </c>
      <c r="J246">
        <v>1</v>
      </c>
      <c r="K246" t="s">
        <v>196</v>
      </c>
      <c r="L246" t="s">
        <v>191</v>
      </c>
      <c r="M246" t="s">
        <v>192</v>
      </c>
      <c r="O246">
        <v>1</v>
      </c>
      <c r="P246" t="s">
        <v>137</v>
      </c>
      <c r="R246" t="s">
        <v>438</v>
      </c>
      <c r="X246">
        <f>vue="Info"</f>
        <v>0</v>
      </c>
    </row>
    <row r="247" spans="1:24">
      <c r="A247" t="s">
        <v>576</v>
      </c>
      <c r="B247" t="s">
        <v>16</v>
      </c>
      <c r="C247">
        <v>889</v>
      </c>
      <c r="D247">
        <v>517</v>
      </c>
      <c r="E247">
        <v>0</v>
      </c>
      <c r="F247">
        <v>18</v>
      </c>
      <c r="H247" t="s">
        <v>184</v>
      </c>
      <c r="R247" t="s">
        <v>567</v>
      </c>
      <c r="X247">
        <f>vue="Info"</f>
        <v>0</v>
      </c>
    </row>
    <row r="248" spans="1:24">
      <c r="A248" t="s">
        <v>577</v>
      </c>
      <c r="B248" t="s">
        <v>109</v>
      </c>
      <c r="C248">
        <v>897</v>
      </c>
      <c r="D248">
        <v>509</v>
      </c>
      <c r="E248">
        <v>152</v>
      </c>
      <c r="F248">
        <v>34</v>
      </c>
      <c r="H248" t="s">
        <v>211</v>
      </c>
      <c r="I248">
        <v>10.5</v>
      </c>
      <c r="J248">
        <v>1</v>
      </c>
      <c r="K248" t="s">
        <v>185</v>
      </c>
      <c r="L248" t="s">
        <v>191</v>
      </c>
      <c r="M248" t="s">
        <v>192</v>
      </c>
      <c r="O248">
        <v>0.3</v>
      </c>
      <c r="R248" t="s">
        <v>503</v>
      </c>
      <c r="V248">
        <f>MID(Calcul!$B$637,1,5)&amp;" "&amp;MID(Calcul!$B$637,6,5)&amp;" "&amp;MID(Calcul!$B$637,11,5)&amp;" "&amp;MID(Calcul!$B$637,16,5)</f>
        <v>0</v>
      </c>
      <c r="X248">
        <f>vue="Info"</f>
        <v>0</v>
      </c>
    </row>
    <row r="249" spans="1:24">
      <c r="A249" t="s">
        <v>578</v>
      </c>
      <c r="B249" t="s">
        <v>183</v>
      </c>
      <c r="C249">
        <v>1051</v>
      </c>
      <c r="D249">
        <v>516</v>
      </c>
      <c r="E249">
        <v>20</v>
      </c>
      <c r="F249">
        <v>20</v>
      </c>
      <c r="G249">
        <v>7</v>
      </c>
      <c r="H249" t="s">
        <v>184</v>
      </c>
      <c r="R249" t="s">
        <v>532</v>
      </c>
      <c r="S249" t="s">
        <v>579</v>
      </c>
      <c r="W249">
        <f>IF(FALSE,"ico_dis","ico")</f>
        <v>0</v>
      </c>
      <c r="X249">
        <f>vue="Info"</f>
        <v>0</v>
      </c>
    </row>
    <row r="250" spans="1:24">
      <c r="A250" t="s">
        <v>580</v>
      </c>
      <c r="B250" t="s">
        <v>183</v>
      </c>
      <c r="C250">
        <v>1056</v>
      </c>
      <c r="D250">
        <v>520</v>
      </c>
      <c r="E250">
        <v>8</v>
      </c>
      <c r="F250">
        <v>8</v>
      </c>
      <c r="G250">
        <v>2</v>
      </c>
      <c r="H250" t="s">
        <v>184</v>
      </c>
      <c r="R250" t="s">
        <v>535</v>
      </c>
      <c r="S250" t="s">
        <v>579</v>
      </c>
      <c r="W250">
        <f>IF(FALSE,"ico_back_dis","ico_back")</f>
        <v>0</v>
      </c>
      <c r="X250">
        <f>vue="Info"</f>
        <v>0</v>
      </c>
    </row>
    <row r="251" spans="1:24">
      <c r="A251" t="s">
        <v>581</v>
      </c>
      <c r="B251" t="s">
        <v>183</v>
      </c>
      <c r="C251">
        <v>1059</v>
      </c>
      <c r="D251">
        <v>523</v>
      </c>
      <c r="E251">
        <v>8</v>
      </c>
      <c r="F251">
        <v>8</v>
      </c>
      <c r="G251">
        <v>2</v>
      </c>
      <c r="H251" t="s">
        <v>184</v>
      </c>
      <c r="R251" t="s">
        <v>537</v>
      </c>
      <c r="S251" t="s">
        <v>579</v>
      </c>
      <c r="W251">
        <f>IF(FALSE,"ico_front_dis","ico_front")</f>
        <v>0</v>
      </c>
      <c r="X251">
        <f>vue="Info"</f>
        <v>0</v>
      </c>
    </row>
    <row r="252" spans="1:24">
      <c r="A252" t="s">
        <v>582</v>
      </c>
      <c r="B252" t="s">
        <v>109</v>
      </c>
      <c r="C252">
        <v>1051</v>
      </c>
      <c r="D252">
        <v>516</v>
      </c>
      <c r="E252">
        <v>20</v>
      </c>
      <c r="F252">
        <v>20</v>
      </c>
      <c r="H252" t="s">
        <v>184</v>
      </c>
      <c r="I252">
        <v>11</v>
      </c>
      <c r="J252">
        <v>1</v>
      </c>
      <c r="K252" t="s">
        <v>196</v>
      </c>
      <c r="L252" t="s">
        <v>191</v>
      </c>
      <c r="M252" t="s">
        <v>192</v>
      </c>
      <c r="P252" t="s">
        <v>539</v>
      </c>
      <c r="R252" t="s">
        <v>540</v>
      </c>
      <c r="S252" t="s">
        <v>579</v>
      </c>
      <c r="X252">
        <f>FALSE</f>
        <v>0</v>
      </c>
    </row>
    <row r="253" spans="1:24">
      <c r="A253" t="s">
        <v>583</v>
      </c>
      <c r="B253" t="s">
        <v>183</v>
      </c>
      <c r="C253">
        <v>585</v>
      </c>
      <c r="D253">
        <v>553</v>
      </c>
      <c r="E253">
        <v>243</v>
      </c>
      <c r="F253">
        <v>34</v>
      </c>
      <c r="G253">
        <v>17</v>
      </c>
      <c r="H253" t="s">
        <v>184</v>
      </c>
      <c r="R253" t="s">
        <v>506</v>
      </c>
      <c r="X253">
        <f>vue="Info"</f>
        <v>0</v>
      </c>
    </row>
    <row r="254" spans="1:24">
      <c r="A254" t="s">
        <v>584</v>
      </c>
      <c r="B254" t="s">
        <v>109</v>
      </c>
      <c r="C254">
        <v>585</v>
      </c>
      <c r="D254">
        <v>553</v>
      </c>
      <c r="E254">
        <v>52</v>
      </c>
      <c r="F254">
        <v>34</v>
      </c>
      <c r="H254" t="s">
        <v>184</v>
      </c>
      <c r="I254">
        <v>9.5</v>
      </c>
      <c r="J254">
        <v>1</v>
      </c>
      <c r="K254" t="s">
        <v>196</v>
      </c>
      <c r="L254" t="s">
        <v>191</v>
      </c>
      <c r="M254" t="s">
        <v>192</v>
      </c>
      <c r="O254">
        <v>1</v>
      </c>
      <c r="P254" t="s">
        <v>140</v>
      </c>
      <c r="R254" t="s">
        <v>438</v>
      </c>
      <c r="X254">
        <f>vue="Info"</f>
        <v>0</v>
      </c>
    </row>
    <row r="255" spans="1:24">
      <c r="A255" t="s">
        <v>585</v>
      </c>
      <c r="B255" t="s">
        <v>16</v>
      </c>
      <c r="C255">
        <v>637</v>
      </c>
      <c r="D255">
        <v>561</v>
      </c>
      <c r="E255">
        <v>0</v>
      </c>
      <c r="F255">
        <v>18</v>
      </c>
      <c r="H255" t="s">
        <v>184</v>
      </c>
      <c r="R255" t="s">
        <v>567</v>
      </c>
      <c r="X255">
        <f>vue="Info"</f>
        <v>0</v>
      </c>
    </row>
    <row r="256" spans="1:24">
      <c r="A256" t="s">
        <v>586</v>
      </c>
      <c r="B256" t="s">
        <v>109</v>
      </c>
      <c r="C256">
        <v>645</v>
      </c>
      <c r="D256">
        <v>553</v>
      </c>
      <c r="E256">
        <v>152</v>
      </c>
      <c r="F256">
        <v>34</v>
      </c>
      <c r="H256" t="s">
        <v>211</v>
      </c>
      <c r="I256">
        <v>10.5</v>
      </c>
      <c r="J256">
        <v>1</v>
      </c>
      <c r="K256" t="s">
        <v>185</v>
      </c>
      <c r="L256" t="s">
        <v>191</v>
      </c>
      <c r="M256" t="s">
        <v>192</v>
      </c>
      <c r="O256">
        <v>0.3</v>
      </c>
      <c r="R256" t="s">
        <v>503</v>
      </c>
      <c r="V256">
        <f>MID(Calcul!$B$790,1,5)&amp;" "&amp;MID(Calcul!$B$790,6,5)</f>
        <v>0</v>
      </c>
      <c r="X256">
        <f>vue="Info"</f>
        <v>0</v>
      </c>
    </row>
    <row r="257" spans="1:24">
      <c r="A257" t="s">
        <v>587</v>
      </c>
      <c r="B257" t="s">
        <v>183</v>
      </c>
      <c r="C257">
        <v>799</v>
      </c>
      <c r="D257">
        <v>560</v>
      </c>
      <c r="E257">
        <v>20</v>
      </c>
      <c r="F257">
        <v>20</v>
      </c>
      <c r="G257">
        <v>7</v>
      </c>
      <c r="H257" t="s">
        <v>184</v>
      </c>
      <c r="R257" t="s">
        <v>532</v>
      </c>
      <c r="S257" t="s">
        <v>588</v>
      </c>
      <c r="W257">
        <f>IF(FALSE,"ico_dis","ico")</f>
        <v>0</v>
      </c>
      <c r="X257">
        <f>vue="Info"</f>
        <v>0</v>
      </c>
    </row>
    <row r="258" spans="1:24">
      <c r="A258" t="s">
        <v>589</v>
      </c>
      <c r="B258" t="s">
        <v>183</v>
      </c>
      <c r="C258">
        <v>804</v>
      </c>
      <c r="D258">
        <v>564</v>
      </c>
      <c r="E258">
        <v>8</v>
      </c>
      <c r="F258">
        <v>8</v>
      </c>
      <c r="G258">
        <v>2</v>
      </c>
      <c r="H258" t="s">
        <v>184</v>
      </c>
      <c r="R258" t="s">
        <v>535</v>
      </c>
      <c r="S258" t="s">
        <v>588</v>
      </c>
      <c r="W258">
        <f>IF(FALSE,"ico_back_dis","ico_back")</f>
        <v>0</v>
      </c>
      <c r="X258">
        <f>vue="Info"</f>
        <v>0</v>
      </c>
    </row>
    <row r="259" spans="1:24">
      <c r="A259" t="s">
        <v>590</v>
      </c>
      <c r="B259" t="s">
        <v>183</v>
      </c>
      <c r="C259">
        <v>807</v>
      </c>
      <c r="D259">
        <v>567</v>
      </c>
      <c r="E259">
        <v>8</v>
      </c>
      <c r="F259">
        <v>8</v>
      </c>
      <c r="G259">
        <v>2</v>
      </c>
      <c r="H259" t="s">
        <v>184</v>
      </c>
      <c r="R259" t="s">
        <v>537</v>
      </c>
      <c r="S259" t="s">
        <v>588</v>
      </c>
      <c r="W259">
        <f>IF(FALSE,"ico_front_dis","ico_front")</f>
        <v>0</v>
      </c>
      <c r="X259">
        <f>vue="Info"</f>
        <v>0</v>
      </c>
    </row>
    <row r="260" spans="1:24">
      <c r="A260" t="s">
        <v>591</v>
      </c>
      <c r="B260" t="s">
        <v>109</v>
      </c>
      <c r="C260">
        <v>799</v>
      </c>
      <c r="D260">
        <v>560</v>
      </c>
      <c r="E260">
        <v>20</v>
      </c>
      <c r="F260">
        <v>20</v>
      </c>
      <c r="H260" t="s">
        <v>184</v>
      </c>
      <c r="I260">
        <v>11</v>
      </c>
      <c r="J260">
        <v>1</v>
      </c>
      <c r="K260" t="s">
        <v>196</v>
      </c>
      <c r="L260" t="s">
        <v>191</v>
      </c>
      <c r="M260" t="s">
        <v>192</v>
      </c>
      <c r="P260" t="s">
        <v>539</v>
      </c>
      <c r="R260" t="s">
        <v>540</v>
      </c>
      <c r="S260" t="s">
        <v>588</v>
      </c>
      <c r="X260">
        <f>FALSE</f>
        <v>0</v>
      </c>
    </row>
    <row r="261" spans="1:24">
      <c r="A261" t="s">
        <v>592</v>
      </c>
      <c r="B261" t="s">
        <v>183</v>
      </c>
      <c r="C261">
        <v>837</v>
      </c>
      <c r="D261">
        <v>553</v>
      </c>
      <c r="E261">
        <v>243</v>
      </c>
      <c r="F261">
        <v>34</v>
      </c>
      <c r="G261">
        <v>17</v>
      </c>
      <c r="H261" t="s">
        <v>184</v>
      </c>
      <c r="R261" t="s">
        <v>506</v>
      </c>
      <c r="X261">
        <f>vue="Info"</f>
        <v>0</v>
      </c>
    </row>
    <row r="262" spans="1:24">
      <c r="A262" t="s">
        <v>593</v>
      </c>
      <c r="B262" t="s">
        <v>109</v>
      </c>
      <c r="C262">
        <v>837</v>
      </c>
      <c r="D262">
        <v>553</v>
      </c>
      <c r="E262">
        <v>52</v>
      </c>
      <c r="F262">
        <v>34</v>
      </c>
      <c r="H262" t="s">
        <v>184</v>
      </c>
      <c r="I262">
        <v>9.5</v>
      </c>
      <c r="J262">
        <v>1</v>
      </c>
      <c r="K262" t="s">
        <v>196</v>
      </c>
      <c r="L262" t="s">
        <v>191</v>
      </c>
      <c r="M262" t="s">
        <v>192</v>
      </c>
      <c r="O262">
        <v>1</v>
      </c>
      <c r="P262" t="s">
        <v>141</v>
      </c>
      <c r="R262" t="s">
        <v>438</v>
      </c>
      <c r="X262">
        <f>vue="Info"</f>
        <v>0</v>
      </c>
    </row>
    <row r="263" spans="1:24">
      <c r="A263" t="s">
        <v>594</v>
      </c>
      <c r="B263" t="s">
        <v>16</v>
      </c>
      <c r="C263">
        <v>889</v>
      </c>
      <c r="D263">
        <v>561</v>
      </c>
      <c r="E263">
        <v>0</v>
      </c>
      <c r="F263">
        <v>18</v>
      </c>
      <c r="H263" t="s">
        <v>184</v>
      </c>
      <c r="R263" t="s">
        <v>567</v>
      </c>
      <c r="X263">
        <f>vue="Info"</f>
        <v>0</v>
      </c>
    </row>
    <row r="264" spans="1:24">
      <c r="A264" t="s">
        <v>595</v>
      </c>
      <c r="B264" t="s">
        <v>109</v>
      </c>
      <c r="C264">
        <v>897</v>
      </c>
      <c r="D264">
        <v>553</v>
      </c>
      <c r="E264">
        <v>152</v>
      </c>
      <c r="F264">
        <v>34</v>
      </c>
      <c r="H264" t="s">
        <v>211</v>
      </c>
      <c r="I264">
        <v>10.5</v>
      </c>
      <c r="J264">
        <v>1</v>
      </c>
      <c r="K264" t="s">
        <v>185</v>
      </c>
      <c r="L264" t="s">
        <v>191</v>
      </c>
      <c r="M264" t="s">
        <v>192</v>
      </c>
      <c r="O264">
        <v>0.3</v>
      </c>
      <c r="R264" t="s">
        <v>503</v>
      </c>
      <c r="V264">
        <f>MID(Calcul!$B$943,1,5)&amp;" "&amp;MID(Calcul!$B$943,6,5)</f>
        <v>0</v>
      </c>
      <c r="X264">
        <f>vue="Info"</f>
        <v>0</v>
      </c>
    </row>
    <row r="265" spans="1:24">
      <c r="A265" t="s">
        <v>596</v>
      </c>
      <c r="B265" t="s">
        <v>183</v>
      </c>
      <c r="C265">
        <v>1051</v>
      </c>
      <c r="D265">
        <v>560</v>
      </c>
      <c r="E265">
        <v>20</v>
      </c>
      <c r="F265">
        <v>20</v>
      </c>
      <c r="G265">
        <v>7</v>
      </c>
      <c r="H265" t="s">
        <v>184</v>
      </c>
      <c r="R265" t="s">
        <v>532</v>
      </c>
      <c r="S265" t="s">
        <v>597</v>
      </c>
      <c r="W265">
        <f>IF(FALSE,"ico_dis","ico")</f>
        <v>0</v>
      </c>
      <c r="X265">
        <f>vue="Info"</f>
        <v>0</v>
      </c>
    </row>
    <row r="266" spans="1:24">
      <c r="A266" t="s">
        <v>598</v>
      </c>
      <c r="B266" t="s">
        <v>183</v>
      </c>
      <c r="C266">
        <v>1056</v>
      </c>
      <c r="D266">
        <v>564</v>
      </c>
      <c r="E266">
        <v>8</v>
      </c>
      <c r="F266">
        <v>8</v>
      </c>
      <c r="G266">
        <v>2</v>
      </c>
      <c r="H266" t="s">
        <v>184</v>
      </c>
      <c r="R266" t="s">
        <v>535</v>
      </c>
      <c r="S266" t="s">
        <v>597</v>
      </c>
      <c r="W266">
        <f>IF(FALSE,"ico_back_dis","ico_back")</f>
        <v>0</v>
      </c>
      <c r="X266">
        <f>vue="Info"</f>
        <v>0</v>
      </c>
    </row>
    <row r="267" spans="1:24">
      <c r="A267" t="s">
        <v>599</v>
      </c>
      <c r="B267" t="s">
        <v>183</v>
      </c>
      <c r="C267">
        <v>1059</v>
      </c>
      <c r="D267">
        <v>567</v>
      </c>
      <c r="E267">
        <v>8</v>
      </c>
      <c r="F267">
        <v>8</v>
      </c>
      <c r="G267">
        <v>2</v>
      </c>
      <c r="H267" t="s">
        <v>184</v>
      </c>
      <c r="R267" t="s">
        <v>537</v>
      </c>
      <c r="S267" t="s">
        <v>597</v>
      </c>
      <c r="W267">
        <f>IF(FALSE,"ico_front_dis","ico_front")</f>
        <v>0</v>
      </c>
      <c r="X267">
        <f>vue="Info"</f>
        <v>0</v>
      </c>
    </row>
    <row r="268" spans="1:24">
      <c r="A268" t="s">
        <v>600</v>
      </c>
      <c r="B268" t="s">
        <v>109</v>
      </c>
      <c r="C268">
        <v>1051</v>
      </c>
      <c r="D268">
        <v>560</v>
      </c>
      <c r="E268">
        <v>20</v>
      </c>
      <c r="F268">
        <v>20</v>
      </c>
      <c r="H268" t="s">
        <v>184</v>
      </c>
      <c r="I268">
        <v>11</v>
      </c>
      <c r="J268">
        <v>1</v>
      </c>
      <c r="K268" t="s">
        <v>196</v>
      </c>
      <c r="L268" t="s">
        <v>191</v>
      </c>
      <c r="M268" t="s">
        <v>192</v>
      </c>
      <c r="P268" t="s">
        <v>539</v>
      </c>
      <c r="R268" t="s">
        <v>540</v>
      </c>
      <c r="S268" t="s">
        <v>597</v>
      </c>
      <c r="X268">
        <f>FALSE</f>
        <v>0</v>
      </c>
    </row>
    <row r="269" spans="1:24">
      <c r="A269" t="s">
        <v>601</v>
      </c>
      <c r="B269" t="s">
        <v>384</v>
      </c>
      <c r="C269">
        <v>567</v>
      </c>
      <c r="D269">
        <v>711</v>
      </c>
      <c r="E269">
        <v>531</v>
      </c>
      <c r="F269">
        <v>20</v>
      </c>
      <c r="G269">
        <v>20</v>
      </c>
      <c r="H269" t="s">
        <v>184</v>
      </c>
      <c r="R269" t="s">
        <v>385</v>
      </c>
    </row>
    <row r="270" spans="1:24">
      <c r="A270" t="s">
        <v>602</v>
      </c>
      <c r="B270" t="s">
        <v>387</v>
      </c>
      <c r="C270">
        <v>567</v>
      </c>
      <c r="D270">
        <v>611</v>
      </c>
      <c r="E270">
        <v>531</v>
      </c>
      <c r="F270">
        <v>37</v>
      </c>
      <c r="G270">
        <v>20</v>
      </c>
      <c r="H270" t="s">
        <v>184</v>
      </c>
      <c r="R270" t="s">
        <v>388</v>
      </c>
    </row>
    <row r="271" spans="1:24">
      <c r="A271" t="s">
        <v>603</v>
      </c>
      <c r="B271" t="s">
        <v>390</v>
      </c>
      <c r="C271">
        <v>567</v>
      </c>
      <c r="D271">
        <v>648</v>
      </c>
      <c r="E271">
        <v>18</v>
      </c>
      <c r="F271">
        <v>63</v>
      </c>
      <c r="G271">
        <v>20</v>
      </c>
      <c r="H271" t="s">
        <v>184</v>
      </c>
      <c r="R271" t="s">
        <v>388</v>
      </c>
    </row>
    <row r="272" spans="1:24">
      <c r="A272" t="s">
        <v>604</v>
      </c>
      <c r="B272" t="s">
        <v>390</v>
      </c>
      <c r="C272">
        <v>747</v>
      </c>
      <c r="D272">
        <v>648</v>
      </c>
      <c r="E272">
        <v>351</v>
      </c>
      <c r="F272">
        <v>63</v>
      </c>
      <c r="G272">
        <v>20</v>
      </c>
      <c r="H272" t="s">
        <v>184</v>
      </c>
      <c r="R272" t="s">
        <v>388</v>
      </c>
    </row>
    <row r="273" spans="1:24">
      <c r="A273" t="s">
        <v>605</v>
      </c>
      <c r="B273" t="s">
        <v>390</v>
      </c>
      <c r="C273">
        <v>567</v>
      </c>
      <c r="D273">
        <v>647</v>
      </c>
      <c r="E273">
        <v>18</v>
      </c>
      <c r="F273">
        <v>2</v>
      </c>
      <c r="G273">
        <v>20</v>
      </c>
      <c r="H273" t="s">
        <v>184</v>
      </c>
      <c r="R273" t="s">
        <v>388</v>
      </c>
    </row>
    <row r="274" spans="1:24">
      <c r="A274" t="s">
        <v>606</v>
      </c>
      <c r="B274" t="s">
        <v>390</v>
      </c>
      <c r="C274">
        <v>747</v>
      </c>
      <c r="D274">
        <v>647</v>
      </c>
      <c r="E274">
        <v>351</v>
      </c>
      <c r="F274">
        <v>2</v>
      </c>
      <c r="G274">
        <v>20</v>
      </c>
      <c r="H274" t="s">
        <v>184</v>
      </c>
      <c r="R274" t="s">
        <v>388</v>
      </c>
    </row>
    <row r="275" spans="1:24">
      <c r="A275" t="s">
        <v>607</v>
      </c>
      <c r="B275" t="s">
        <v>390</v>
      </c>
      <c r="C275">
        <v>567</v>
      </c>
      <c r="D275">
        <v>710</v>
      </c>
      <c r="E275">
        <v>18</v>
      </c>
      <c r="F275">
        <v>2</v>
      </c>
      <c r="G275">
        <v>20</v>
      </c>
      <c r="H275" t="s">
        <v>184</v>
      </c>
      <c r="R275" t="s">
        <v>388</v>
      </c>
    </row>
    <row r="276" spans="1:24">
      <c r="A276" t="s">
        <v>608</v>
      </c>
      <c r="B276" t="s">
        <v>390</v>
      </c>
      <c r="C276">
        <v>747</v>
      </c>
      <c r="D276">
        <v>710</v>
      </c>
      <c r="E276">
        <v>351</v>
      </c>
      <c r="F276">
        <v>2</v>
      </c>
      <c r="G276">
        <v>20</v>
      </c>
      <c r="H276" t="s">
        <v>184</v>
      </c>
      <c r="R276" t="s">
        <v>388</v>
      </c>
    </row>
    <row r="277" spans="1:24">
      <c r="A277" t="s">
        <v>609</v>
      </c>
      <c r="B277" t="s">
        <v>109</v>
      </c>
      <c r="C277">
        <v>585</v>
      </c>
      <c r="D277">
        <v>626</v>
      </c>
      <c r="E277">
        <v>200</v>
      </c>
      <c r="F277">
        <v>16</v>
      </c>
      <c r="H277" t="s">
        <v>184</v>
      </c>
      <c r="I277">
        <v>10</v>
      </c>
      <c r="J277">
        <v>1</v>
      </c>
      <c r="K277" t="s">
        <v>185</v>
      </c>
      <c r="L277" t="s">
        <v>191</v>
      </c>
      <c r="M277" t="s">
        <v>192</v>
      </c>
      <c r="O277">
        <v>1</v>
      </c>
      <c r="P277" t="s">
        <v>610</v>
      </c>
      <c r="R277" t="s">
        <v>194</v>
      </c>
    </row>
    <row r="278" spans="1:24">
      <c r="A278" t="s">
        <v>611</v>
      </c>
      <c r="B278" t="s">
        <v>183</v>
      </c>
      <c r="C278">
        <v>984</v>
      </c>
      <c r="D278">
        <v>622</v>
      </c>
      <c r="E278">
        <v>96</v>
      </c>
      <c r="F278">
        <v>24</v>
      </c>
      <c r="G278">
        <v>12</v>
      </c>
      <c r="H278" t="s">
        <v>184</v>
      </c>
      <c r="I278">
        <v>10.5</v>
      </c>
      <c r="J278">
        <v>1</v>
      </c>
      <c r="K278" t="s">
        <v>196</v>
      </c>
      <c r="P278" t="s">
        <v>612</v>
      </c>
      <c r="R278" t="s">
        <v>482</v>
      </c>
      <c r="S278" t="s">
        <v>613</v>
      </c>
    </row>
    <row r="279" spans="1:24">
      <c r="A279" t="s">
        <v>614</v>
      </c>
      <c r="B279" t="s">
        <v>183</v>
      </c>
      <c r="C279">
        <v>585</v>
      </c>
      <c r="D279">
        <v>648</v>
      </c>
      <c r="E279">
        <v>162</v>
      </c>
      <c r="F279">
        <v>63</v>
      </c>
      <c r="G279">
        <v>16</v>
      </c>
      <c r="H279" t="s">
        <v>184</v>
      </c>
      <c r="R279" t="s">
        <v>506</v>
      </c>
      <c r="S279" t="s">
        <v>615</v>
      </c>
      <c r="X279">
        <f>TRUE</f>
        <v>0</v>
      </c>
    </row>
    <row r="280" spans="1:24">
      <c r="A280" t="s">
        <v>616</v>
      </c>
      <c r="B280" t="s">
        <v>109</v>
      </c>
      <c r="C280">
        <v>595</v>
      </c>
      <c r="D280">
        <v>656</v>
      </c>
      <c r="E280">
        <v>142</v>
      </c>
      <c r="F280">
        <v>14</v>
      </c>
      <c r="H280" t="s">
        <v>184</v>
      </c>
      <c r="I280">
        <v>9</v>
      </c>
      <c r="J280">
        <v>0</v>
      </c>
      <c r="K280" t="s">
        <v>212</v>
      </c>
      <c r="L280" t="s">
        <v>191</v>
      </c>
      <c r="M280" t="s">
        <v>192</v>
      </c>
      <c r="R280" t="s">
        <v>438</v>
      </c>
      <c r="S280" t="s">
        <v>615</v>
      </c>
      <c r="V280">
        <f>IF(ISNUMBER(v_dep),"Départ · "&amp;CHOOSE(WEEKDAY(v_dep),"dim.","lun.","mar.","mer.","jeu.","ven.","sam.")&amp;" "&amp;DAY(v_dep)&amp;" "&amp;CHOOSE(MONTH(v_dep),"janv.","févr.","mars","avr.","mai","juin","juil.","août","sept.","oct.","nov.","déc.")&amp;" "&amp;YEAR(v_dep),"Date de départ")</f>
        <v>0</v>
      </c>
      <c r="X280">
        <f>TRUE</f>
        <v>0</v>
      </c>
    </row>
    <row r="281" spans="1:24">
      <c r="A281" t="s">
        <v>617</v>
      </c>
      <c r="B281" t="s">
        <v>109</v>
      </c>
      <c r="C281">
        <v>595</v>
      </c>
      <c r="D281">
        <v>674</v>
      </c>
      <c r="E281">
        <v>142</v>
      </c>
      <c r="F281">
        <v>30</v>
      </c>
      <c r="H281" t="s">
        <v>211</v>
      </c>
      <c r="I281">
        <v>18</v>
      </c>
      <c r="J281">
        <v>1</v>
      </c>
      <c r="K281" t="s">
        <v>212</v>
      </c>
      <c r="L281" t="s">
        <v>191</v>
      </c>
      <c r="M281" t="s">
        <v>192</v>
      </c>
      <c r="R281" t="s">
        <v>503</v>
      </c>
      <c r="S281" t="s">
        <v>615</v>
      </c>
      <c r="V281">
        <f>IF(ISNUMBER(v_dep),RIGHT("0"&amp;DAY(v_dep),2)&amp;"/"&amp;RIGHT("0"&amp;MONTH(v_dep),2)&amp;"/"&amp;YEAR(v_dep),"jj/mm/aaaa")</f>
        <v>0</v>
      </c>
      <c r="W281">
        <f>IF(ISNUMBER(v_dep),"val","val_vide")</f>
        <v>0</v>
      </c>
      <c r="X281">
        <f>TRUE</f>
        <v>0</v>
      </c>
    </row>
    <row r="282" spans="1:24">
      <c r="A282" t="s">
        <v>618</v>
      </c>
      <c r="B282" t="s">
        <v>183</v>
      </c>
      <c r="C282">
        <v>756</v>
      </c>
      <c r="D282">
        <v>648</v>
      </c>
      <c r="E282">
        <v>157</v>
      </c>
      <c r="F282">
        <v>63</v>
      </c>
      <c r="G282">
        <v>16</v>
      </c>
      <c r="H282" t="s">
        <v>184</v>
      </c>
      <c r="R282" t="s">
        <v>506</v>
      </c>
    </row>
    <row r="283" spans="1:24">
      <c r="A283" t="s">
        <v>619</v>
      </c>
      <c r="B283" t="s">
        <v>109</v>
      </c>
      <c r="C283">
        <v>766</v>
      </c>
      <c r="D283">
        <v>655</v>
      </c>
      <c r="E283">
        <v>107</v>
      </c>
      <c r="F283">
        <v>14</v>
      </c>
      <c r="H283" t="s">
        <v>184</v>
      </c>
      <c r="I283">
        <v>9.5</v>
      </c>
      <c r="J283">
        <v>1</v>
      </c>
      <c r="K283" t="s">
        <v>185</v>
      </c>
      <c r="L283" t="s">
        <v>191</v>
      </c>
      <c r="M283" t="s">
        <v>192</v>
      </c>
      <c r="O283">
        <v>1</v>
      </c>
      <c r="P283" t="s">
        <v>530</v>
      </c>
      <c r="R283" t="s">
        <v>438</v>
      </c>
    </row>
    <row r="284" spans="1:24">
      <c r="A284" t="s">
        <v>620</v>
      </c>
      <c r="B284" t="s">
        <v>183</v>
      </c>
      <c r="C284">
        <v>884</v>
      </c>
      <c r="D284">
        <v>654</v>
      </c>
      <c r="E284">
        <v>20</v>
      </c>
      <c r="F284">
        <v>20</v>
      </c>
      <c r="G284">
        <v>7</v>
      </c>
      <c r="H284" t="s">
        <v>184</v>
      </c>
      <c r="R284" t="s">
        <v>532</v>
      </c>
      <c r="S284" t="s">
        <v>621</v>
      </c>
      <c r="W284">
        <f>IF(Calcul!$C$945="","ico_dis","ico")</f>
        <v>0</v>
      </c>
      <c r="X284">
        <f>TRUE</f>
        <v>0</v>
      </c>
    </row>
    <row r="285" spans="1:24">
      <c r="A285" t="s">
        <v>622</v>
      </c>
      <c r="B285" t="s">
        <v>183</v>
      </c>
      <c r="C285">
        <v>889</v>
      </c>
      <c r="D285">
        <v>658</v>
      </c>
      <c r="E285">
        <v>8</v>
      </c>
      <c r="F285">
        <v>8</v>
      </c>
      <c r="G285">
        <v>2</v>
      </c>
      <c r="H285" t="s">
        <v>184</v>
      </c>
      <c r="R285" t="s">
        <v>535</v>
      </c>
      <c r="S285" t="s">
        <v>621</v>
      </c>
      <c r="W285">
        <f>IF(Calcul!$C$945="","ico_back_dis","ico_back")</f>
        <v>0</v>
      </c>
      <c r="X285">
        <f>TRUE</f>
        <v>0</v>
      </c>
    </row>
    <row r="286" spans="1:24">
      <c r="A286" t="s">
        <v>623</v>
      </c>
      <c r="B286" t="s">
        <v>183</v>
      </c>
      <c r="C286">
        <v>892</v>
      </c>
      <c r="D286">
        <v>661</v>
      </c>
      <c r="E286">
        <v>8</v>
      </c>
      <c r="F286">
        <v>8</v>
      </c>
      <c r="G286">
        <v>2</v>
      </c>
      <c r="H286" t="s">
        <v>184</v>
      </c>
      <c r="R286" t="s">
        <v>537</v>
      </c>
      <c r="S286" t="s">
        <v>621</v>
      </c>
      <c r="W286">
        <f>IF(Calcul!$C$945="","ico_front_dis","ico_front")</f>
        <v>0</v>
      </c>
      <c r="X286">
        <f>TRUE</f>
        <v>0</v>
      </c>
    </row>
    <row r="287" spans="1:24">
      <c r="A287" t="s">
        <v>624</v>
      </c>
      <c r="B287" t="s">
        <v>109</v>
      </c>
      <c r="C287">
        <v>884</v>
      </c>
      <c r="D287">
        <v>654</v>
      </c>
      <c r="E287">
        <v>20</v>
      </c>
      <c r="F287">
        <v>20</v>
      </c>
      <c r="H287" t="s">
        <v>184</v>
      </c>
      <c r="I287">
        <v>11</v>
      </c>
      <c r="J287">
        <v>1</v>
      </c>
      <c r="K287" t="s">
        <v>196</v>
      </c>
      <c r="L287" t="s">
        <v>191</v>
      </c>
      <c r="M287" t="s">
        <v>192</v>
      </c>
      <c r="P287" t="s">
        <v>539</v>
      </c>
      <c r="R287" t="s">
        <v>540</v>
      </c>
      <c r="S287" t="s">
        <v>621</v>
      </c>
      <c r="X287">
        <f>FALSE</f>
        <v>0</v>
      </c>
    </row>
    <row r="288" spans="1:24">
      <c r="A288" t="s">
        <v>625</v>
      </c>
      <c r="B288" t="s">
        <v>109</v>
      </c>
      <c r="C288">
        <v>764</v>
      </c>
      <c r="D288">
        <v>672</v>
      </c>
      <c r="E288">
        <v>139</v>
      </c>
      <c r="F288">
        <v>22</v>
      </c>
      <c r="H288" t="s">
        <v>211</v>
      </c>
      <c r="I288">
        <v>13</v>
      </c>
      <c r="J288">
        <v>1</v>
      </c>
      <c r="K288" t="s">
        <v>212</v>
      </c>
      <c r="L288" t="s">
        <v>191</v>
      </c>
      <c r="M288" t="s">
        <v>192</v>
      </c>
      <c r="R288" t="s">
        <v>503</v>
      </c>
      <c r="V288">
        <f>IF(Calcul!$C$945="","—",Calcul!$D$945&amp;" "&amp;Calcul!$C$945)</f>
        <v>0</v>
      </c>
    </row>
    <row r="289" spans="1:24">
      <c r="A289" t="s">
        <v>626</v>
      </c>
      <c r="B289" t="s">
        <v>183</v>
      </c>
      <c r="C289">
        <v>766</v>
      </c>
      <c r="D289">
        <v>690</v>
      </c>
      <c r="E289">
        <v>50</v>
      </c>
      <c r="F289">
        <v>15</v>
      </c>
      <c r="G289">
        <v>7</v>
      </c>
      <c r="H289" t="s">
        <v>184</v>
      </c>
      <c r="I289">
        <v>8.5</v>
      </c>
      <c r="J289">
        <v>1</v>
      </c>
      <c r="K289" t="s">
        <v>196</v>
      </c>
      <c r="M289" t="s">
        <v>543</v>
      </c>
      <c r="R289" t="s">
        <v>544</v>
      </c>
      <c r="T289">
        <v>903</v>
      </c>
      <c r="U289">
        <v>1</v>
      </c>
      <c r="V289">
        <f>Calcul!$E$945</f>
        <v>0</v>
      </c>
      <c r="X289">
        <f>Calcul!$E$945&lt;&gt;""</f>
        <v>0</v>
      </c>
    </row>
    <row r="290" spans="1:24">
      <c r="A290" t="s">
        <v>627</v>
      </c>
      <c r="B290" t="s">
        <v>183</v>
      </c>
      <c r="C290">
        <v>922</v>
      </c>
      <c r="D290">
        <v>648</v>
      </c>
      <c r="E290">
        <v>158</v>
      </c>
      <c r="F290">
        <v>63</v>
      </c>
      <c r="G290">
        <v>16</v>
      </c>
      <c r="H290" t="s">
        <v>184</v>
      </c>
      <c r="R290" t="s">
        <v>506</v>
      </c>
    </row>
    <row r="291" spans="1:24">
      <c r="A291" t="s">
        <v>628</v>
      </c>
      <c r="B291" t="s">
        <v>109</v>
      </c>
      <c r="C291">
        <v>932</v>
      </c>
      <c r="D291">
        <v>655</v>
      </c>
      <c r="E291">
        <v>108</v>
      </c>
      <c r="F291">
        <v>14</v>
      </c>
      <c r="H291" t="s">
        <v>184</v>
      </c>
      <c r="I291">
        <v>9.5</v>
      </c>
      <c r="J291">
        <v>1</v>
      </c>
      <c r="K291" t="s">
        <v>185</v>
      </c>
      <c r="L291" t="s">
        <v>191</v>
      </c>
      <c r="M291" t="s">
        <v>192</v>
      </c>
      <c r="O291">
        <v>1</v>
      </c>
      <c r="P291" t="s">
        <v>547</v>
      </c>
      <c r="R291" t="s">
        <v>438</v>
      </c>
    </row>
    <row r="292" spans="1:24">
      <c r="A292" t="s">
        <v>629</v>
      </c>
      <c r="B292" t="s">
        <v>183</v>
      </c>
      <c r="C292">
        <v>1051</v>
      </c>
      <c r="D292">
        <v>654</v>
      </c>
      <c r="E292">
        <v>20</v>
      </c>
      <c r="F292">
        <v>20</v>
      </c>
      <c r="G292">
        <v>7</v>
      </c>
      <c r="H292" t="s">
        <v>184</v>
      </c>
      <c r="R292" t="s">
        <v>532</v>
      </c>
      <c r="S292" t="s">
        <v>630</v>
      </c>
      <c r="W292">
        <f>IF(Calcul!$C$946="","ico_dis","ico")</f>
        <v>0</v>
      </c>
      <c r="X292">
        <f>TRUE</f>
        <v>0</v>
      </c>
    </row>
    <row r="293" spans="1:24">
      <c r="A293" t="s">
        <v>631</v>
      </c>
      <c r="B293" t="s">
        <v>183</v>
      </c>
      <c r="C293">
        <v>1056</v>
      </c>
      <c r="D293">
        <v>658</v>
      </c>
      <c r="E293">
        <v>8</v>
      </c>
      <c r="F293">
        <v>8</v>
      </c>
      <c r="G293">
        <v>2</v>
      </c>
      <c r="H293" t="s">
        <v>184</v>
      </c>
      <c r="R293" t="s">
        <v>535</v>
      </c>
      <c r="S293" t="s">
        <v>630</v>
      </c>
      <c r="W293">
        <f>IF(Calcul!$C$946="","ico_back_dis","ico_back")</f>
        <v>0</v>
      </c>
      <c r="X293">
        <f>TRUE</f>
        <v>0</v>
      </c>
    </row>
    <row r="294" spans="1:24">
      <c r="A294" t="s">
        <v>632</v>
      </c>
      <c r="B294" t="s">
        <v>183</v>
      </c>
      <c r="C294">
        <v>1059</v>
      </c>
      <c r="D294">
        <v>661</v>
      </c>
      <c r="E294">
        <v>8</v>
      </c>
      <c r="F294">
        <v>8</v>
      </c>
      <c r="G294">
        <v>2</v>
      </c>
      <c r="H294" t="s">
        <v>184</v>
      </c>
      <c r="R294" t="s">
        <v>537</v>
      </c>
      <c r="S294" t="s">
        <v>630</v>
      </c>
      <c r="W294">
        <f>IF(Calcul!$C$946="","ico_front_dis","ico_front")</f>
        <v>0</v>
      </c>
      <c r="X294">
        <f>TRUE</f>
        <v>0</v>
      </c>
    </row>
    <row r="295" spans="1:24">
      <c r="A295" t="s">
        <v>633</v>
      </c>
      <c r="B295" t="s">
        <v>109</v>
      </c>
      <c r="C295">
        <v>1051</v>
      </c>
      <c r="D295">
        <v>654</v>
      </c>
      <c r="E295">
        <v>20</v>
      </c>
      <c r="F295">
        <v>20</v>
      </c>
      <c r="H295" t="s">
        <v>184</v>
      </c>
      <c r="I295">
        <v>11</v>
      </c>
      <c r="J295">
        <v>1</v>
      </c>
      <c r="K295" t="s">
        <v>196</v>
      </c>
      <c r="L295" t="s">
        <v>191</v>
      </c>
      <c r="M295" t="s">
        <v>192</v>
      </c>
      <c r="P295" t="s">
        <v>539</v>
      </c>
      <c r="R295" t="s">
        <v>540</v>
      </c>
      <c r="S295" t="s">
        <v>630</v>
      </c>
      <c r="X295">
        <f>FALSE</f>
        <v>0</v>
      </c>
    </row>
    <row r="296" spans="1:24">
      <c r="A296" t="s">
        <v>634</v>
      </c>
      <c r="B296" t="s">
        <v>109</v>
      </c>
      <c r="C296">
        <v>930</v>
      </c>
      <c r="D296">
        <v>672</v>
      </c>
      <c r="E296">
        <v>140</v>
      </c>
      <c r="F296">
        <v>22</v>
      </c>
      <c r="H296" t="s">
        <v>211</v>
      </c>
      <c r="I296">
        <v>13</v>
      </c>
      <c r="J296">
        <v>1</v>
      </c>
      <c r="K296" t="s">
        <v>212</v>
      </c>
      <c r="L296" t="s">
        <v>191</v>
      </c>
      <c r="M296" t="s">
        <v>192</v>
      </c>
      <c r="R296" t="s">
        <v>503</v>
      </c>
      <c r="V296">
        <f>IF(Calcul!$C$946="","—",Calcul!$D$946&amp;" "&amp;Calcul!$C$946)</f>
        <v>0</v>
      </c>
    </row>
    <row r="297" spans="1:24">
      <c r="A297" t="s">
        <v>635</v>
      </c>
      <c r="B297" t="s">
        <v>183</v>
      </c>
      <c r="C297">
        <v>932</v>
      </c>
      <c r="D297">
        <v>690</v>
      </c>
      <c r="E297">
        <v>50</v>
      </c>
      <c r="F297">
        <v>15</v>
      </c>
      <c r="G297">
        <v>7</v>
      </c>
      <c r="H297" t="s">
        <v>184</v>
      </c>
      <c r="I297">
        <v>8.5</v>
      </c>
      <c r="J297">
        <v>1</v>
      </c>
      <c r="K297" t="s">
        <v>196</v>
      </c>
      <c r="M297" t="s">
        <v>543</v>
      </c>
      <c r="R297" t="s">
        <v>544</v>
      </c>
      <c r="T297">
        <v>1070</v>
      </c>
      <c r="U297">
        <v>1</v>
      </c>
      <c r="V297">
        <f>Calcul!$E$946</f>
        <v>0</v>
      </c>
      <c r="X297">
        <f>Calcul!$E$946&lt;&gt;""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44</vt:i4>
      </vt:variant>
    </vt:vector>
  </HeadingPairs>
  <TitlesOfParts>
    <vt:vector size="48" baseType="lpstr">
      <vt:lpstr>Racco D2</vt:lpstr>
      <vt:lpstr>Calcul</vt:lpstr>
      <vt:lpstr>Paramètres</vt:lpstr>
      <vt:lpstr>Rendu</vt:lpstr>
      <vt:lpstr>codeAPE</vt:lpstr>
      <vt:lpstr>codeDZI</vt:lpstr>
      <vt:lpstr>codeLVE</vt:lpstr>
      <vt:lpstr>codeRTY</vt:lpstr>
      <vt:lpstr>comlab</vt:lpstr>
      <vt:lpstr>coulCarte</vt:lpstr>
      <vt:lpstr>coulSaisie</vt:lpstr>
      <vt:lpstr>cour</vt:lpstr>
      <vt:lpstr>date30</vt:lpstr>
      <vt:lpstr>date65</vt:lpstr>
      <vt:lpstr>etapeChoisie</vt:lpstr>
      <vt:lpstr>f_adr</vt:lpstr>
      <vt:lpstr>f_ant</vt:lpstr>
      <vt:lpstr>f_cab</vt:lpstr>
      <vt:lpstr>f_dep</vt:lpstr>
      <vt:lpstr>f_dlpi</vt:lpstr>
      <vt:lpstr>f_el</vt:lpstr>
      <vt:lpstr>f_imb1</vt:lpstr>
      <vt:lpstr>f_imb2</vt:lpstr>
      <vt:lpstr>f_imb3</vt:lpstr>
      <vt:lpstr>f_imb4</vt:lpstr>
      <vt:lpstr>f_pc</vt:lpstr>
      <vt:lpstr>f_racco</vt:lpstr>
      <vt:lpstr>noeuds</vt:lpstr>
      <vt:lpstr>pageH</vt:lpstr>
      <vt:lpstr>pageL</vt:lpstr>
      <vt:lpstr>sel</vt:lpstr>
      <vt:lpstr>selMemo</vt:lpstr>
      <vt:lpstr>styles</vt:lpstr>
      <vt:lpstr>taches</vt:lpstr>
      <vt:lpstr>ui</vt:lpstr>
      <vt:lpstr>v_adr</vt:lpstr>
      <vt:lpstr>v_ant</vt:lpstr>
      <vt:lpstr>v_cab</vt:lpstr>
      <vt:lpstr>v_dep</vt:lpstr>
      <vt:lpstr>v_dlpi</vt:lpstr>
      <vt:lpstr>v_el</vt:lpstr>
      <vt:lpstr>v_imb1</vt:lpstr>
      <vt:lpstr>v_imb2</vt:lpstr>
      <vt:lpstr>v_imb3</vt:lpstr>
      <vt:lpstr>v_imb4</vt:lpstr>
      <vt:lpstr>v_pc</vt:lpstr>
      <vt:lpstr>v_racco</vt:lpstr>
      <vt:lpstr>vue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Racco D2</dc:title>
  <dc:creator/>
  <dc:description>Suivi d'un dossier de raccordement D2</dc:description>
  <cp:lastModifiedBy/>
  <dcterms:created xsi:type="dcterms:W3CDTF">2026-10-08T11:53:34Z</dcterms:created>
  <dcterms:modified xsi:type="dcterms:W3CDTF">2026-10-08T11:53:34Z</dcterms:modified>
</cp:coreProperties>
</file>